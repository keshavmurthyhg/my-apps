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447927\Desktop\my-apps\data\"/>
    </mc:Choice>
  </mc:AlternateContent>
  <xr:revisionPtr revIDLastSave="0" documentId="13_ncr:1_{60D66484-027D-488F-9FFD-076E9E69FCCE}" xr6:coauthVersionLast="47" xr6:coauthVersionMax="47" xr10:uidLastSave="{00000000-0000-0000-0000-000000000000}"/>
  <bookViews>
    <workbookView xWindow="-110" yWindow="-110" windowWidth="19420" windowHeight="11500" tabRatio="791" firstSheet="1" activeTab="3" xr2:uid="{00000000-000D-0000-FFFF-FFFF00000000}"/>
  </bookViews>
  <sheets>
    <sheet name="Daily Sync-Up" sheetId="17" r:id="rId1"/>
    <sheet name="Azure Stories" sheetId="7" r:id="rId2"/>
    <sheet name="Server_List" sheetId="13" r:id="rId3"/>
    <sheet name="Support_Mail" sheetId="59" r:id="rId4"/>
    <sheet name="Integration_Failure" sheetId="14" r:id="rId5"/>
  </sheets>
  <definedNames>
    <definedName name="ExternalData_1" localSheetId="4" hidden="1">Integration_Failure!$A$1:$E$47</definedName>
    <definedName name="ExternalData_2" localSheetId="3" hidden="1">Support_Mail!$A$1:$H$744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7" l="1" a="1"/>
  <c r="A89" i="17" l="1"/>
  <c r="A103" i="17"/>
  <c r="A62" i="17"/>
  <c r="A76" i="17"/>
  <c r="A90" i="17"/>
  <c r="A104" i="17"/>
  <c r="A63" i="17"/>
  <c r="A77" i="17"/>
  <c r="A94" i="17"/>
  <c r="A67" i="17"/>
  <c r="A96" i="17"/>
  <c r="A64" i="17"/>
  <c r="A78" i="17"/>
  <c r="A92" i="17"/>
  <c r="A106" i="17"/>
  <c r="A79" i="17"/>
  <c r="A71" i="17"/>
  <c r="A85" i="17"/>
  <c r="A99" i="17"/>
  <c r="A86" i="17"/>
  <c r="A100" i="17"/>
  <c r="A73" i="17"/>
  <c r="A101" i="17"/>
  <c r="A95" i="17"/>
  <c r="B28" i="17"/>
  <c r="A43" i="17" s="1"/>
  <c r="A11" i="17"/>
  <c r="A12" i="17"/>
  <c r="A98" i="17" l="1"/>
  <c r="A80" i="17"/>
  <c r="A75" i="17"/>
  <c r="A68" i="17"/>
  <c r="A84" i="17"/>
  <c r="A66" i="17"/>
  <c r="A61" i="17"/>
  <c r="A81" i="17"/>
  <c r="A70" i="17"/>
  <c r="A93" i="17"/>
  <c r="A102" i="17"/>
  <c r="A87" i="17"/>
  <c r="A97" i="17"/>
  <c r="A65" i="17"/>
  <c r="A88" i="17"/>
  <c r="A72" i="17"/>
  <c r="A83" i="17"/>
  <c r="A105" i="17"/>
  <c r="A74" i="17"/>
  <c r="A82" i="17"/>
  <c r="A69" i="17"/>
  <c r="A91" i="17"/>
  <c r="A60" i="17"/>
  <c r="A55" i="17"/>
  <c r="A41" i="17"/>
  <c r="A54" i="17"/>
  <c r="A40" i="17"/>
  <c r="A48" i="17"/>
  <c r="A34" i="17"/>
  <c r="A47" i="17"/>
  <c r="A33" i="17"/>
  <c r="A57" i="17"/>
  <c r="A29" i="17"/>
  <c r="A32" i="17"/>
  <c r="A53" i="17"/>
  <c r="A39" i="17"/>
  <c r="A52" i="17"/>
  <c r="A59" i="17"/>
  <c r="A38" i="17"/>
  <c r="A45" i="17"/>
  <c r="A51" i="17"/>
  <c r="A31" i="17"/>
  <c r="A46" i="17"/>
  <c r="A37" i="17"/>
  <c r="A58" i="17"/>
  <c r="A50" i="17"/>
  <c r="A44" i="17"/>
  <c r="A36" i="17"/>
  <c r="A30" i="17"/>
  <c r="A56" i="17"/>
  <c r="A49" i="17"/>
  <c r="A42" i="17"/>
  <c r="A35" i="17"/>
  <c r="A24" i="17" l="1"/>
  <c r="J4" i="17"/>
  <c r="J5" i="17"/>
  <c r="J6" i="17"/>
  <c r="J7" i="17"/>
  <c r="J8" i="17"/>
  <c r="J3" i="17"/>
  <c r="B2" i="17" a="1"/>
  <c r="M1" i="17"/>
  <c r="L6" i="17"/>
  <c r="M6" i="17" s="1"/>
  <c r="L8" i="17"/>
  <c r="L7" i="17"/>
  <c r="M7" i="17" s="1"/>
  <c r="L5" i="17"/>
  <c r="L4" i="17"/>
  <c r="L3" i="17"/>
  <c r="A8" i="17" l="1"/>
  <c r="A9" i="17"/>
  <c r="A10" i="17"/>
  <c r="B2" i="17"/>
  <c r="A6" i="17"/>
  <c r="A4" i="17"/>
  <c r="A7" i="17"/>
  <c r="A5" i="17"/>
  <c r="A3" i="17"/>
  <c r="A28" i="17"/>
  <c r="B16" i="17" a="1"/>
  <c r="M3" i="17"/>
  <c r="M8" i="17"/>
  <c r="M5" i="17"/>
  <c r="M4" i="17"/>
  <c r="B16" i="17" l="1"/>
  <c r="A17" i="17" s="1"/>
  <c r="A23" i="17" l="1"/>
  <c r="A22" i="17"/>
  <c r="A20" i="17"/>
  <c r="A19" i="17"/>
  <c r="A21" i="17"/>
  <c r="A18" i="17"/>
  <c r="A16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EAF7F-41E9-4934-957A-940F3AD1E64D}" keepAlive="1" name="Query - Integraton_Failure" description="Connection to the 'Integraton_Failure' query in the workbook." type="5" refreshedVersion="8" background="1" saveData="1">
    <dbPr connection="Provider=Microsoft.Mashup.OleDb.1;Data Source=$Workbook$;Location=Integraton_Failure;Extended Properties=&quot;&quot;" command="SELECT * FROM [Integraton_Failure]"/>
  </connection>
  <connection id="2" xr16:uid="{9FCE7B72-9AC3-49F6-993D-AF33B3A7FAE3}" keepAlive="1" name="Query - Parameter_SNOW-Input" description="Connection to the 'Parameter_SNOW-Input' query in the workbook." type="5" refreshedVersion="0" background="1">
    <dbPr connection="Provider=Microsoft.Mashup.OleDb.1;Data Source=$Workbook$;Location=Parameter_SNOW-Input;Extended Properties=&quot;&quot;" command="SELECT * FROM [Parameter_SNOW-Input]"/>
  </connection>
  <connection id="3" xr16:uid="{D7DD5344-69A9-4C55-B9A0-ABD4E4FACE4B}" keepAlive="1" name="Query - Sample File_SNOW-Input" description="Connection to the 'Sample File_SNOW-Input' query in the workbook." type="5" refreshedVersion="0" background="1">
    <dbPr connection="Provider=Microsoft.Mashup.OleDb.1;Data Source=$Workbook$;Location=&quot;Sample File_SNOW-Input&quot;;Extended Properties=&quot;&quot;" command="SELECT * FROM [Sample File_SNOW-Input]"/>
  </connection>
  <connection id="4" xr16:uid="{D1665D25-CC52-46DF-B49F-1E8541AB84C4}" keepAlive="1" name="Query - SNOW-Input" description="Connection to the 'SNOW-Input' query in the workbook." type="5" refreshedVersion="8" background="1" saveData="1">
    <dbPr connection="Provider=Microsoft.Mashup.OleDb.1;Data Source=$Workbook$;Location=SNOW-Input;Extended Properties=&quot;&quot;" command="SELECT * FROM [SNOW-Input]"/>
  </connection>
  <connection id="5" xr16:uid="{B2603775-AF47-48B5-AC5B-E2B27A8DF3F3}" keepAlive="1" name="Query - Support_Mail" description="Connection to the 'Support_Mail' query in the workbook." type="5" refreshedVersion="8" background="1" saveData="1">
    <dbPr connection="Provider=Microsoft.Mashup.OleDb.1;Data Source=$Workbook$;Location=Support_Mail;Extended Properties=&quot;&quot;" command="SELECT * FROM [Support_Mail]"/>
  </connection>
  <connection id="6" xr16:uid="{8E8D267B-97B1-4CAD-BCFE-A2CA26A4832E}" keepAlive="1" name="Query - Transform File_SNOW-Input" description="Connection to the 'Transform File_SNOW-Input' query in the workbook." type="5" refreshedVersion="0" background="1">
    <dbPr connection="Provider=Microsoft.Mashup.OleDb.1;Data Source=$Workbook$;Location=&quot;Transform File_SNOW-Input&quot;;Extended Properties=&quot;&quot;" command="SELECT * FROM [Transform File_SNOW-Input]"/>
  </connection>
  <connection id="7" xr16:uid="{226CFA30-B432-42DB-940E-264D66C388B6}" keepAlive="1" name="Query - Transform Sample File_SNOW-Input" description="Connection to the 'Transform Sample File_SNOW-Input' query in the workbook." type="5" refreshedVersion="0" background="1">
    <dbPr connection="Provider=Microsoft.Mashup.OleDb.1;Data Source=$Workbook$;Location=&quot;Transform Sample File_SNOW-Input&quot;;Extended Properties=&quot;&quot;" command="SELECT * FROM [Transform Sample File_SNOW-Inpu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<sst xmlns="http://schemas.openxmlformats.org/spreadsheetml/2006/main" count="4548" uniqueCount="883">
  <si>
    <t>Active Incidents Section</t>
  </si>
  <si>
    <t>Windchill Support Status</t>
  </si>
  <si>
    <t>SL NO</t>
  </si>
  <si>
    <t>Topic</t>
  </si>
  <si>
    <t>Count</t>
  </si>
  <si>
    <t>Status</t>
  </si>
  <si>
    <t>Active Incidents</t>
  </si>
  <si>
    <t>High Priority Incidents</t>
  </si>
  <si>
    <t>Open PTC Cases</t>
  </si>
  <si>
    <t>Pending Email Followups</t>
  </si>
  <si>
    <t>Integration Failures</t>
  </si>
  <si>
    <t>Azure Stories</t>
  </si>
  <si>
    <t>Support Emails (Pending only)</t>
  </si>
  <si>
    <t>Age</t>
  </si>
  <si>
    <t>Received</t>
  </si>
  <si>
    <t>Subject</t>
  </si>
  <si>
    <t>Received from</t>
  </si>
  <si>
    <t>Integration Failures from past 7 days</t>
  </si>
  <si>
    <t>Sl No</t>
  </si>
  <si>
    <t>Integration Name</t>
  </si>
  <si>
    <t>Failure Time</t>
  </si>
  <si>
    <t>Error Message</t>
  </si>
  <si>
    <t>Object Number</t>
  </si>
  <si>
    <t>Server Name</t>
  </si>
  <si>
    <t>segotl2689.got.volvo.net</t>
  </si>
  <si>
    <t>segotl3789.got.volvo.net</t>
  </si>
  <si>
    <t>segotl2690.got.volvo.net</t>
  </si>
  <si>
    <t>segotl3786.got.volvo.net</t>
  </si>
  <si>
    <t>segotl3787.got.volvo.net</t>
  </si>
  <si>
    <t>segotl3785.got.volvo.net</t>
  </si>
  <si>
    <t>Number</t>
  </si>
  <si>
    <t>Assigned to</t>
  </si>
  <si>
    <t>Created</t>
  </si>
  <si>
    <t>Vendor ticket</t>
  </si>
  <si>
    <t>Incident state</t>
  </si>
  <si>
    <t>Short description</t>
  </si>
  <si>
    <t>Opened by</t>
  </si>
  <si>
    <t>Caller</t>
  </si>
  <si>
    <t>Closed</t>
  </si>
  <si>
    <t>Pradnya Shinde</t>
  </si>
  <si>
    <t>Keshavamurthy Hg</t>
  </si>
  <si>
    <t>HCL Integration</t>
  </si>
  <si>
    <t>Theodor Nilsson</t>
  </si>
  <si>
    <t>Surendranath Reddy Suram</t>
  </si>
  <si>
    <t>Sejong Lee</t>
  </si>
  <si>
    <t>Canceled</t>
  </si>
  <si>
    <t>Lily Xu</t>
  </si>
  <si>
    <t>Jordan Bingaman</t>
  </si>
  <si>
    <t>INC109841343</t>
  </si>
  <si>
    <t>Multiple Where Used Report doesn't work.</t>
  </si>
  <si>
    <t>Thomas Endres</t>
  </si>
  <si>
    <t>Anders Klang</t>
  </si>
  <si>
    <t>Katarina Björkman</t>
  </si>
  <si>
    <t>Ramesh Sh</t>
  </si>
  <si>
    <t>Joakim Libert</t>
  </si>
  <si>
    <t>Jungwon Park</t>
  </si>
  <si>
    <t>Doyun Jung</t>
  </si>
  <si>
    <t>INC109782921</t>
  </si>
  <si>
    <t>18014952</t>
  </si>
  <si>
    <t>Content Tab is missing on Volvo Parts</t>
  </si>
  <si>
    <t>INC109720389</t>
  </si>
  <si>
    <t>18007559</t>
  </si>
  <si>
    <t>Edit Association button is missing from Volvo Part (maybe after Windchill 13)</t>
  </si>
  <si>
    <t>Johan Melkersten</t>
  </si>
  <si>
    <t>Eric Lejeau</t>
  </si>
  <si>
    <t>Mona Gustafsson</t>
  </si>
  <si>
    <t>INC109669644</t>
  </si>
  <si>
    <t>Structure changes displayed in Change Report is mixed with different Part numbers</t>
  </si>
  <si>
    <t>Ashwin Bolar Chandrashekar Tonse</t>
  </si>
  <si>
    <t>INC108113066</t>
  </si>
  <si>
    <t>Michael Hill</t>
  </si>
  <si>
    <t>INC109583116</t>
  </si>
  <si>
    <t>ODC Transaction Failure</t>
  </si>
  <si>
    <t>Awaiting Vendor</t>
  </si>
  <si>
    <t>Pawel Ostafinski</t>
  </si>
  <si>
    <t>INC109458774</t>
  </si>
  <si>
    <t>Change Report Missing Structure Change</t>
  </si>
  <si>
    <t>INC109446954</t>
  </si>
  <si>
    <t>17972679</t>
  </si>
  <si>
    <t>Import from spreadsheet is giving error</t>
  </si>
  <si>
    <t>INC109442209</t>
  </si>
  <si>
    <t>A043277(Anton) is unable to edit the standard filter for Service View Structure</t>
  </si>
  <si>
    <t>INC109441617</t>
  </si>
  <si>
    <t>Create/Enable rule in Option Set</t>
  </si>
  <si>
    <t>INC109413767</t>
  </si>
  <si>
    <t>Windchill - Belley Local major issue - DCR Process Logic or bug?</t>
  </si>
  <si>
    <t>Frank Heckenbach</t>
  </si>
  <si>
    <t>Dongsu Jung</t>
  </si>
  <si>
    <t>INC109240056</t>
  </si>
  <si>
    <t>Windchill / CATIA Issue - Attributes issue</t>
  </si>
  <si>
    <t>Maciej Pilch</t>
  </si>
  <si>
    <t>INC109228257</t>
  </si>
  <si>
    <t xml:space="preserve">120575WC DCN change report update </t>
  </si>
  <si>
    <t>INC109228010</t>
  </si>
  <si>
    <t>Need access to rename TIM files for WLO containers in Windchill</t>
  </si>
  <si>
    <t>INC109178067</t>
  </si>
  <si>
    <t>Please block users without access to Windchill.</t>
  </si>
  <si>
    <t>Piotr Fafula</t>
  </si>
  <si>
    <t>Mateusz Lepecki</t>
  </si>
  <si>
    <t>INC109079427</t>
  </si>
  <si>
    <t>17927881</t>
  </si>
  <si>
    <t>CAD models do not adopt the name of the Windchill Part</t>
  </si>
  <si>
    <t>INC109070164</t>
  </si>
  <si>
    <t>C17925832</t>
  </si>
  <si>
    <t>Copy forward functionality seems to be gone</t>
  </si>
  <si>
    <t>Jilles Endhoven</t>
  </si>
  <si>
    <t>INC109066796</t>
  </si>
  <si>
    <t>17924167</t>
  </si>
  <si>
    <t>"rename" function is not showing in action for engineering documents</t>
  </si>
  <si>
    <t>INC109042528</t>
  </si>
  <si>
    <t>I can´t get a DCn to state Released, DCN 119525WC</t>
  </si>
  <si>
    <t>INC108952481</t>
  </si>
  <si>
    <t>Laurent Ogier</t>
  </si>
  <si>
    <t>INC108967540</t>
  </si>
  <si>
    <t>17912927</t>
  </si>
  <si>
    <t>[SE] Quickview shows wrong part representation</t>
  </si>
  <si>
    <t>Stuck Design Change Notice - 118570WC</t>
  </si>
  <si>
    <t>INC108922300</t>
  </si>
  <si>
    <t>Save as Function in Windchill Test server do not work.</t>
  </si>
  <si>
    <t>Pär Lindgren</t>
  </si>
  <si>
    <t>INC108848468</t>
  </si>
  <si>
    <t>DCN 118154WC Report issue</t>
  </si>
  <si>
    <t>INC108809241</t>
  </si>
  <si>
    <t>Multiple Where Used Report is not working</t>
  </si>
  <si>
    <t>INC108781824</t>
  </si>
  <si>
    <t>Multi Where Used Report</t>
  </si>
  <si>
    <t>Kristina Winblad</t>
  </si>
  <si>
    <t>Gent Wisting</t>
  </si>
  <si>
    <t>INC108607596</t>
  </si>
  <si>
    <t xml:space="preserve">17857821 </t>
  </si>
  <si>
    <t>53669812 HYDRAULIC CYLINDER;LEVELLING CYLINDER Rev. 02 WT-part details are lost</t>
  </si>
  <si>
    <t>INC108594214</t>
  </si>
  <si>
    <t>PAV-ABG DCNs are stuck at Create MCN activity post WC25_2 Release</t>
  </si>
  <si>
    <t>INC108558952</t>
  </si>
  <si>
    <t>Users have the access to Revise Inwork CAD objects in WC Prod</t>
  </si>
  <si>
    <t>INC108398652</t>
  </si>
  <si>
    <t>17815847</t>
  </si>
  <si>
    <t>54869955 cannot be checked-out in Windchill</t>
  </si>
  <si>
    <t>Michal Czerw</t>
  </si>
  <si>
    <t>INC108383905</t>
  </si>
  <si>
    <t>Windchill settings for Options</t>
  </si>
  <si>
    <t>Ola Widen</t>
  </si>
  <si>
    <t>INC108383493</t>
  </si>
  <si>
    <t>DCN 119150WC - Change of stage from B to P</t>
  </si>
  <si>
    <t>INC108383166</t>
  </si>
  <si>
    <t>C17817728</t>
  </si>
  <si>
    <t xml:space="preserve">Experiencing issues with loading thumbnails for workspace objects in Creo. </t>
  </si>
  <si>
    <t>INC108379027</t>
  </si>
  <si>
    <t>Add project to project list</t>
  </si>
  <si>
    <t>INC108367370</t>
  </si>
  <si>
    <t>C17758433,17818523</t>
  </si>
  <si>
    <t>Users are not able to access/create parts in specific container in WC13</t>
  </si>
  <si>
    <t>INC108335269</t>
  </si>
  <si>
    <t>C17814920</t>
  </si>
  <si>
    <t>Problem with Windchill</t>
  </si>
  <si>
    <t>Anna Cichorek</t>
  </si>
  <si>
    <t>INC108332507</t>
  </si>
  <si>
    <t>17807786</t>
  </si>
  <si>
    <t>Scrollbar which is not needed, wasn't like that in WGM12</t>
  </si>
  <si>
    <t>INC108291590</t>
  </si>
  <si>
    <t>C17797976</t>
  </si>
  <si>
    <t>Import of "importable spreadsheet" is not working</t>
  </si>
  <si>
    <t>INC108231441</t>
  </si>
  <si>
    <t>In Windchill there is no action triggered for Rotterdam MCN Planner</t>
  </si>
  <si>
    <t>INC108202066</t>
  </si>
  <si>
    <t>Change Report will not generate</t>
  </si>
  <si>
    <t>INC108127663</t>
  </si>
  <si>
    <t>Add 7 projects to the project list drop down in the DCN area.</t>
  </si>
  <si>
    <t>change reports of 114445WC are not showing reality of WC structure.</t>
  </si>
  <si>
    <t>INC108090052</t>
  </si>
  <si>
    <t>Unable to upload to QA and Test</t>
  </si>
  <si>
    <t>INC108041548</t>
  </si>
  <si>
    <t>Missing end items in DCN</t>
  </si>
  <si>
    <t>Magnus Engman</t>
  </si>
  <si>
    <t>INC108028866</t>
  </si>
  <si>
    <t>17731732, 17747568</t>
  </si>
  <si>
    <t>Upload is not working using WGM13 app using replicas</t>
  </si>
  <si>
    <t>INC107951346</t>
  </si>
  <si>
    <t>Volvo Part editing issue</t>
  </si>
  <si>
    <t>INC107932755</t>
  </si>
  <si>
    <t>Part Version Report.pdf is downloading instead of PVR_03_16344163.pdf</t>
  </si>
  <si>
    <t>INC107922799</t>
  </si>
  <si>
    <t>DCN releases are sending multiple mails</t>
  </si>
  <si>
    <t>INC107911965</t>
  </si>
  <si>
    <t>DCN 117251WC still stuck - with INC107812901 the issue was not solved</t>
  </si>
  <si>
    <t>Moritz Alms</t>
  </si>
  <si>
    <t>INC107855566</t>
  </si>
  <si>
    <t>Incorrect phantom in FM Excel_New</t>
  </si>
  <si>
    <t>INC107850984</t>
  </si>
  <si>
    <t>DCNs are stuck with Business rule check</t>
  </si>
  <si>
    <t>INC107843500</t>
  </si>
  <si>
    <t>"FM Excel Report - New" is not generated once the DCN is Released</t>
  </si>
  <si>
    <t>INC107831833</t>
  </si>
  <si>
    <t>DCN 112751WC, associated end item missing</t>
  </si>
  <si>
    <t>INC107812901</t>
  </si>
  <si>
    <t>Stuck DCN: 117251WC review task does not start</t>
  </si>
  <si>
    <t>INC107800643</t>
  </si>
  <si>
    <t>ATB converted file in Windchill</t>
  </si>
  <si>
    <t>INC107791635</t>
  </si>
  <si>
    <t>Production ONR_MASTER_DOCUMENT was not updated.</t>
  </si>
  <si>
    <t>Jerome Son</t>
  </si>
  <si>
    <t>INC107708674</t>
  </si>
  <si>
    <t>DCN flow of 115712WC is stuck</t>
  </si>
  <si>
    <t>Matthias Hillebrand</t>
  </si>
  <si>
    <t>INC107644120</t>
  </si>
  <si>
    <t>Stuck DCN: 114088WC      (not going to released state)</t>
  </si>
  <si>
    <t>INC107634271</t>
  </si>
  <si>
    <t>DCN change report can't be created</t>
  </si>
  <si>
    <t>INC107542160</t>
  </si>
  <si>
    <t xml:space="preserve">User(Lee Hyunsuk, ec21301) can't be added in the certain library's team. </t>
  </si>
  <si>
    <t>Jiayi Zhou</t>
  </si>
  <si>
    <t>INC107449092</t>
  </si>
  <si>
    <t>CAD model missing in Windchill after RokBak migration.</t>
  </si>
  <si>
    <t>INC107449300</t>
  </si>
  <si>
    <t xml:space="preserve">Multiple MS crashed this week. </t>
  </si>
  <si>
    <t>Balaji Shivraj Dange</t>
  </si>
  <si>
    <t>INC107433919</t>
  </si>
  <si>
    <t>[SE] Windchill DCN114588WC, ESI POST-Release Error</t>
  </si>
  <si>
    <t>INC107427156</t>
  </si>
  <si>
    <t>[SE] Windchill DCN 113015WC does not to state Released</t>
  </si>
  <si>
    <t>cancelled</t>
  </si>
  <si>
    <t>Frank Kellersch</t>
  </si>
  <si>
    <t/>
  </si>
  <si>
    <t>Keshava Murthy HG</t>
  </si>
  <si>
    <t>Sithik Rahamedhulla</t>
  </si>
  <si>
    <t>Agenishrajkumar Kalidass Sasirega</t>
  </si>
  <si>
    <t>Completed</t>
  </si>
  <si>
    <t>Pratap Reddy Kunduru</t>
  </si>
  <si>
    <t>AzureID</t>
  </si>
  <si>
    <t>610921</t>
  </si>
  <si>
    <t>702790</t>
  </si>
  <si>
    <t>695698</t>
  </si>
  <si>
    <t>579305</t>
  </si>
  <si>
    <t>669427</t>
  </si>
  <si>
    <t>663266</t>
  </si>
  <si>
    <t>674122</t>
  </si>
  <si>
    <t>662872</t>
  </si>
  <si>
    <t>667083</t>
  </si>
  <si>
    <t>663526</t>
  </si>
  <si>
    <t>635484</t>
  </si>
  <si>
    <t>655972</t>
  </si>
  <si>
    <t>643531</t>
  </si>
  <si>
    <t>639492</t>
  </si>
  <si>
    <t>684769</t>
  </si>
  <si>
    <t>629909</t>
  </si>
  <si>
    <t>643209</t>
  </si>
  <si>
    <t>622756</t>
  </si>
  <si>
    <t>640250</t>
  </si>
  <si>
    <t>602034</t>
  </si>
  <si>
    <t>602961</t>
  </si>
  <si>
    <t>592901</t>
  </si>
  <si>
    <t>586530</t>
  </si>
  <si>
    <t>574654</t>
  </si>
  <si>
    <t>600589</t>
  </si>
  <si>
    <t>584440</t>
  </si>
  <si>
    <t>599788</t>
  </si>
  <si>
    <t>586533</t>
  </si>
  <si>
    <t>585622</t>
  </si>
  <si>
    <t>583587</t>
  </si>
  <si>
    <t>579263</t>
  </si>
  <si>
    <t>529024</t>
  </si>
  <si>
    <t>569178</t>
  </si>
  <si>
    <t>571805</t>
  </si>
  <si>
    <t>391002</t>
  </si>
  <si>
    <t>605756</t>
  </si>
  <si>
    <t>558077</t>
  </si>
  <si>
    <t>501474</t>
  </si>
  <si>
    <t>558569</t>
  </si>
  <si>
    <t>537121</t>
  </si>
  <si>
    <t>550290</t>
  </si>
  <si>
    <t>497543</t>
  </si>
  <si>
    <t>537959</t>
  </si>
  <si>
    <t>500536</t>
  </si>
  <si>
    <t>499187</t>
  </si>
  <si>
    <t>503299</t>
  </si>
  <si>
    <t>454127</t>
  </si>
  <si>
    <t>505194</t>
  </si>
  <si>
    <t>Name</t>
  </si>
  <si>
    <t>Address</t>
  </si>
  <si>
    <t>DateTimeReceived</t>
  </si>
  <si>
    <t>Importance</t>
  </si>
  <si>
    <t>IsRead</t>
  </si>
  <si>
    <t>Categories</t>
  </si>
  <si>
    <t>HasAttachments</t>
  </si>
  <si>
    <t>RE: Logs from production</t>
  </si>
  <si>
    <t>Support vce.windchill.2nd</t>
  </si>
  <si>
    <t>Support.vce.windchill.2nd@volvo.com</t>
  </si>
  <si>
    <t>Normal</t>
  </si>
  <si>
    <t>Information</t>
  </si>
  <si>
    <t>RE: Failed entries inside EmailQueue queue management</t>
  </si>
  <si>
    <t>Awaiiting L3</t>
  </si>
  <si>
    <t>pratap.reddy.kunduru@volvo.com</t>
  </si>
  <si>
    <t>High</t>
  </si>
  <si>
    <t>Incident INC109970257 has been assigned to group GLB VCE PDM WINDCHILL APPL 2ND</t>
  </si>
  <si>
    <t>IT Service Desk</t>
  </si>
  <si>
    <t>volvoitsm@service-now.com</t>
  </si>
  <si>
    <t>Pradnya</t>
  </si>
  <si>
    <t>Surendranath Reddy Suram (Consultant)</t>
  </si>
  <si>
    <t>surendranath.reddy.suram@consultant.volvo.com</t>
  </si>
  <si>
    <t>Volvo Sequence Number Summary from VCE Windchill Production Application gwcrmp01</t>
  </si>
  <si>
    <t>Oracle user for ao</t>
  </si>
  <si>
    <t>oracleao@segotl2743.got.volvo.net</t>
  </si>
  <si>
    <t>Volvo Sequence Number Summary</t>
  </si>
  <si>
    <t>RE: PTC Case: C18004681 / VOLVO INFORMATION TECHNOLOGY AB / Severity 1 - Business Critically Impacted</t>
  </si>
  <si>
    <t>Suragond, Asmit</t>
  </si>
  <si>
    <t>asuragond@ptc.com</t>
  </si>
  <si>
    <t>RE: PTC Case: C18028229 / VOLVO INFORMATION TECHNOLOGY AB / Severity 2 - Business Moderately Impacted</t>
  </si>
  <si>
    <t>Korde, Prashant</t>
  </si>
  <si>
    <t>pkorde@ptc.com</t>
  </si>
  <si>
    <t>[LINUX MONTHLY PATCHING] – DEDICATED SERVERS - Change Request - CHG100332454 - Mar Week D</t>
  </si>
  <si>
    <t>Shitij Gupta</t>
  </si>
  <si>
    <t>shitij_g@hcltech.com</t>
  </si>
  <si>
    <t>Forwarded to other Group,Keshava Murthy HG</t>
  </si>
  <si>
    <t xml:space="preserve">RE: PTC Case: C18007960 </t>
  </si>
  <si>
    <t>Re: INC109441617-Create/Enable rule in Option Set</t>
  </si>
  <si>
    <t>Johan Mattsson (6)</t>
  </si>
  <si>
    <t>johan.mattsson.6@volvo.com</t>
  </si>
  <si>
    <t>Awaiiting L3,Information</t>
  </si>
  <si>
    <t>CHG100331036 || OS Reinstallation on segotl2607 &amp; segotl3783</t>
  </si>
  <si>
    <t>Nasa Harsha Vardhan</t>
  </si>
  <si>
    <t>nasa.harshavardhan@hcltech.com</t>
  </si>
  <si>
    <t>RE: INC109441617-Create/Enable rule in Option Set</t>
  </si>
  <si>
    <t>Uttam Ram (2)</t>
  </si>
  <si>
    <t>uttam.ram.2@volvo.com</t>
  </si>
  <si>
    <t>GLB_AOM_VCE_PLM_WC</t>
  </si>
  <si>
    <t>glb_aom_vce_plm_wc@hcltech.com</t>
  </si>
  <si>
    <t>RE: Windchill bug?</t>
  </si>
  <si>
    <t xml:space="preserve">Re: PTC Case: C18007960 </t>
  </si>
  <si>
    <t>Kalyanpad, Yogesh</t>
  </si>
  <si>
    <t>ykalyanpad@ptc.com</t>
  </si>
  <si>
    <t>Incident INC109940170 has been assigned to group GLB VCE PDM WINDCHILL APPL 2ND</t>
  </si>
  <si>
    <t>Forwarded to L1</t>
  </si>
  <si>
    <t>Re: Request for QA Server Logs-03 Mar 2026</t>
  </si>
  <si>
    <t>Re: Worker Status on Production: 16-03-2026</t>
  </si>
  <si>
    <t>Request for QA Server Logs-03 Mar 2026</t>
  </si>
  <si>
    <t>Worker Status on Production: 16-03-2026</t>
  </si>
  <si>
    <t>Pradnya Shinde (2) (Consultant)</t>
  </si>
  <si>
    <t>pradnya.shinde.2@consultant.volvo.com</t>
  </si>
  <si>
    <t>frank.heckenbach@volvo.com</t>
  </si>
  <si>
    <t>Istrate, Elena</t>
  </si>
  <si>
    <t>eistrate@ptc.com</t>
  </si>
  <si>
    <t>RE: INC109070164-Copy forward functionality seems to be gone</t>
  </si>
  <si>
    <t>Rijoy Babu T (Supplier)</t>
  </si>
  <si>
    <t>rijoy.babu.t@supplier.volvo.com</t>
  </si>
  <si>
    <t>RE: PTC Case c17983311 / MethodServer log</t>
  </si>
  <si>
    <t>Gautier, Charles</t>
  </si>
  <si>
    <t>cgautier@ptc.com</t>
  </si>
  <si>
    <t>RE: Unable to add a specific user (Stefan Semmelhack) to the Members role in Secure DLS Library</t>
  </si>
  <si>
    <t>RE: PTC Case: C17921345 / VOLVO INFORMATION TECHNOLOGY AB</t>
  </si>
  <si>
    <t>Failed entries inside EmailQueue queue management</t>
  </si>
  <si>
    <t>Rani Kisan Shelke (Supplier)</t>
  </si>
  <si>
    <t>rani.kisan.shelke@supplier.volvo.com</t>
  </si>
  <si>
    <t>RE: Unable to check out the OnR Document in Production</t>
  </si>
  <si>
    <t>agenishrajkumar.kalidass.sasirega@volvo.com</t>
  </si>
  <si>
    <t>[LINUX MONTHLY PATCHING] – DEDICATED SERVERS - Change Request - CHG100330890 - Mar Week C</t>
  </si>
  <si>
    <t>Incident INC109934542 has been assigned to group GLB VCE PDM WINDCHILL APPL 2ND</t>
  </si>
  <si>
    <t>Keshava Murthy HG,Snow Resolved</t>
  </si>
  <si>
    <t>Forwarded to other Group</t>
  </si>
  <si>
    <t>Incident INC109932008 has been assigned to group GLB VCE PDM WINDCHILL APPL 2ND</t>
  </si>
  <si>
    <t>Completed,Pradnya</t>
  </si>
  <si>
    <t>Automatic reply: INC109070164-Copy forward functionality seems to be gone</t>
  </si>
  <si>
    <t>RE: PTC Case: C18028229 / VOLVO INFORMATION TECHNOLOGY AB / Severity 1 - Business Critically Impacted</t>
  </si>
  <si>
    <t>Incident INC109926896 has been assigned to group GLB VCE PDM WINDCHILL APPL 2ND</t>
  </si>
  <si>
    <t>Completed,Surendra Reddy</t>
  </si>
  <si>
    <t>RE: DCN Sequence Number Status in Windchill Production</t>
  </si>
  <si>
    <t>Incident INC109925499 has been assigned to group GLB VCE PDM WINDCHILL APPL 2ND</t>
  </si>
  <si>
    <t>Incident INC109904170 has been assigned to group GLB VCE PDM WINDCHILL APPL 2ND</t>
  </si>
  <si>
    <t>Re: OFFICE Worker Status 09-Mar-2025</t>
  </si>
  <si>
    <t>OFFICE Worker Status 09-Mar-2025</t>
  </si>
  <si>
    <t>Incident INC109923483 has been assigned to group GLB VCE PDM WINDCHILL APPL 2ND</t>
  </si>
  <si>
    <t>Incident INC109918493 has been assigned to group GLB VCE PDM WINDCHILL APPL 2ND</t>
  </si>
  <si>
    <t>Surendra Reddy,Duplicate</t>
  </si>
  <si>
    <t>Incident INC109904170- Access to thingworx/windchill doesn't work despite having applied for access is reopened</t>
  </si>
  <si>
    <t>RE: PTC Case: C18021604 / VOLVO INFORMATION TECHNOLOGY AB / Severity 1 - Business Critically Impacted</t>
  </si>
  <si>
    <t>Saswade, Aniket</t>
  </si>
  <si>
    <t>asaswade@ptc.com</t>
  </si>
  <si>
    <t>PTC,Information</t>
  </si>
  <si>
    <t>Re: INC109784780: Representation of 54545_JL150 incomplete display</t>
  </si>
  <si>
    <t>Re: Unable to add a specific user (Stefan Semmelhack) to the Members role in Secure DLS Library</t>
  </si>
  <si>
    <t>INC109784780: Representation of 54545_JL150 incomplete display</t>
  </si>
  <si>
    <t>Snow Resolved,Pradnya</t>
  </si>
  <si>
    <t>Information,Surendra Reddy</t>
  </si>
  <si>
    <t>Ramesh Sh (Consultant)</t>
  </si>
  <si>
    <t>ramesh.sh@consultant.volvo.com</t>
  </si>
  <si>
    <t>Sv: Unable to add a specific user (Stefan Semmelhack) to the Members role in Secure DLS Library</t>
  </si>
  <si>
    <t>Automatic reply: Unable to add a specific user (Stefan Semmelhack) to the Members role in Secure DLS Library</t>
  </si>
  <si>
    <t>Incident INC109865801 has been assigned to group GLB VCE PDM WINDCHILL APPL 2ND</t>
  </si>
  <si>
    <t>Incident INC109896823 has been assigned to group GLB VCE PDM WINDCHILL APPL 2ND</t>
  </si>
  <si>
    <t>Incident INC109895009 has been assigned to group GLB VCE PDM WINDCHILL APPL 2ND</t>
  </si>
  <si>
    <t>RE: EC300斗杆535461343D问题</t>
  </si>
  <si>
    <t>jungwon.park@volvo.com</t>
  </si>
  <si>
    <t>Incident INC109858162 has been assigned to group GLB VCE PDM WINDCHILL APPL 2ND</t>
  </si>
  <si>
    <t>Snow Resolved,Forwarded to other Group</t>
  </si>
  <si>
    <t>Incident INC109892083 has been assigned to group GLB VCE PDM WINDCHILL APPL 2ND</t>
  </si>
  <si>
    <t>Snow Resolved,Forwarded to L1</t>
  </si>
  <si>
    <t>Incident INC109889192 has been assigned to group GLB VCE PDM WINDCHILL APPL 2ND</t>
  </si>
  <si>
    <t>Forwarded to AOM Team</t>
  </si>
  <si>
    <t>RE: P2 unable to create Part, CAD &amp; Non-CAD</t>
  </si>
  <si>
    <t>Ashokraj Perumayi (3) (Supplier)</t>
  </si>
  <si>
    <t>ashokraj.perumayi.3@supplier.volvo.com</t>
  </si>
  <si>
    <t>Incident INC109890655 has been assigned to group GLB VCE PDM WINDCHILL APPL 2ND</t>
  </si>
  <si>
    <t>RE: Failed to get Transaction Entries - The database disk image is malformed on production</t>
  </si>
  <si>
    <t>Re: Executing jobs filter displaying Ready status jobs as well</t>
  </si>
  <si>
    <t>Incident INC109881556 has been assigned to group GLB VCE PDM WINDCHILL APPL 2ND</t>
  </si>
  <si>
    <t>cancelled,Duplicate</t>
  </si>
  <si>
    <t>Incident INC109880959 has been assigned to group GLB VCE PDM WINDCHILL APPL 2ND</t>
  </si>
  <si>
    <t>Snow Resolved,Surendra Reddy</t>
  </si>
  <si>
    <t>RE: PTC Case: C18007960 - getPartStructureED thread issue causes High CPU Usage.</t>
  </si>
  <si>
    <t>Re: PTC Case: C18007960 - getPartStructureED thread issue causes High CPU Usage.</t>
  </si>
  <si>
    <t>Keshavamurthy Hg (Consultant)</t>
  </si>
  <si>
    <t>keshavamurthy.hg@consultant.volvo.com</t>
  </si>
  <si>
    <t>maciej.pilch@volvo.com</t>
  </si>
  <si>
    <t>Surendra Reddy</t>
  </si>
  <si>
    <t>Snow Resolved,Keshava Murthy HG</t>
  </si>
  <si>
    <t>Completed,Keshava Murthy HG</t>
  </si>
  <si>
    <t>Martins, Paulo</t>
  </si>
  <si>
    <t>PMartins@ptc.com</t>
  </si>
  <si>
    <t>Sandeep Kumar Chanda</t>
  </si>
  <si>
    <t>sandeepkumar.chanda@hcltech.com</t>
  </si>
  <si>
    <t>Mangena, Sriharsha</t>
  </si>
  <si>
    <t>srmangena@ptc.com</t>
  </si>
  <si>
    <t>RE: INC109647199 - older drawing revision is identified as latest version in Windchill</t>
  </si>
  <si>
    <t>Your incident INC109647199-older drawing revision is identified as latest version in Windchill state has been changed.</t>
  </si>
  <si>
    <t>Forwarded to other Group,Pradnya</t>
  </si>
  <si>
    <t>sithik.rahamedhulla@volvo.com</t>
  </si>
  <si>
    <t>ServerName</t>
  </si>
  <si>
    <t>Windchill Server</t>
  </si>
  <si>
    <t>RAPID</t>
  </si>
  <si>
    <t>Failed to send POST request</t>
  </si>
  <si>
    <t>FACTORYMASTER</t>
  </si>
  <si>
    <t>ODC</t>
  </si>
  <si>
    <t>Scheduler MCN Planned Date Update</t>
  </si>
  <si>
    <t>Export to Pots</t>
  </si>
  <si>
    <t>null</t>
  </si>
  <si>
    <t>Cannot invoke "wt.part.WTPart.isEndItem()" because "endItem" is null</t>
  </si>
  <si>
    <t>dipshree.dashrath.shinde@volvo.com</t>
  </si>
  <si>
    <t>haikyung.kim@consultant.volvo.com</t>
  </si>
  <si>
    <t>INC109982411</t>
  </si>
  <si>
    <t>Faulty Associated End Items in Design Change Notice</t>
  </si>
  <si>
    <t>Incident INC109997811 has been assigned to group GLB VCE PDM WINDCHILL APPL 2ND</t>
  </si>
  <si>
    <t>Incident INC109998554 has been assigned to group GLB VCE PDM WINDCHILL APPL 2ND</t>
  </si>
  <si>
    <t xml:space="preserve">RE: PTC Case: C18007960 Long running Thread on 13.1.2.0 </t>
  </si>
  <si>
    <t>RE: PTC Case: C17921345 / CAD Admin checked out objects</t>
  </si>
  <si>
    <t>Incident INC109983589 has been assigned to group GLB VCE PDM WINDCHILL APPL 2ND</t>
  </si>
  <si>
    <t>Incident INC109989668 has been assigned to group GLB VCE PDM WINDCHILL APPL 2ND</t>
  </si>
  <si>
    <t>Re: Worker Status on Production: 23-03-2026</t>
  </si>
  <si>
    <t>Worker Status on Production: 23-03-2026</t>
  </si>
  <si>
    <t>PTC Critical Windchill Vulnerability //Action required immediately!!!!!!</t>
  </si>
  <si>
    <t>Incident INC109989234 has been assigned to group GLB VCE PDM WINDCHILL APPL 2ND</t>
  </si>
  <si>
    <t>Incident INC109989066 has been assigned to group GLB VCE PDM WINDCHILL APPL 2ND</t>
  </si>
  <si>
    <t>Incident INC109984504 has been assigned to group GLB VCE PDM WINDCHILL APPL 2ND</t>
  </si>
  <si>
    <t>Incident INC109984294 has been assigned to group GLB VCE PDM WINDCHILL APPL 2ND</t>
  </si>
  <si>
    <t>Incident INC109984043 has been assigned to group GLB VCE PDM WINDCHILL APPL 2ND</t>
  </si>
  <si>
    <t>Incident INC109983886 has been assigned to group GLB VCE PDM WINDCHILL APPL 2ND</t>
  </si>
  <si>
    <t>Incident INC109983683 has been assigned to group GLB VCE PDM WINDCHILL APPL 2ND</t>
  </si>
  <si>
    <t>Incident INC109981293 has been assigned to group GLB VCE PDM WINDCHILL APPL 2ND</t>
  </si>
  <si>
    <t>Your incident INC109981035-Borrow part from KOLA state has been changed.</t>
  </si>
  <si>
    <t>Incident INC109985368 has been assigned to group GLB VCE PDM WINDCHILL APPL 2ND</t>
  </si>
  <si>
    <t>Incident INC109981035 has been assigned to group GLB VCE PDM WINDCHILL APPL 2ND</t>
  </si>
  <si>
    <t>Incident INC109981313 has been assigned to group GLB VCE PDM WINDCHILL APPL 2ND</t>
  </si>
  <si>
    <t>Duplicate,cancelled,Keshava Murthy HG</t>
  </si>
  <si>
    <t>Incident INC109982411 has been assigned to group GLB VCE PDM WINDCHILL APPL 2ND</t>
  </si>
  <si>
    <t>Incident INC109980188 has been assigned to group GLB VCE PDM WINDCHILL APPL 2ND</t>
  </si>
  <si>
    <t>Completed,Awaiiting L3</t>
  </si>
  <si>
    <t>Change task CTASK100506145 has been assigned to group GLB VCE PDM WINDCHILL APPL 2ND</t>
  </si>
  <si>
    <t>INC110002884-Drawing checkout in Windchill not possible</t>
  </si>
  <si>
    <t>RE: INC109981293-Part Name Update in GLOPPS as per Windchill</t>
  </si>
  <si>
    <t>INC109981293-Part Name Update in GLOPPS as per Windchill</t>
  </si>
  <si>
    <t>Incident INC110002884 has been assigned to group GLB VCE PDM WINDCHILL APPL 2ND</t>
  </si>
  <si>
    <t>Re: [LINUX MONTHLY PATCHING] – DEDICATED SERVERS - Change Request - CHG100330890 - Mar Week C</t>
  </si>
  <si>
    <t>Incident INC110023987 has been assigned to group GLB VCE PDM WINDCHILL APPL 2ND</t>
  </si>
  <si>
    <t>RE: INC110002884-Drawing checkout in Windchill not possible</t>
  </si>
  <si>
    <t>Sv: INC110002884-Drawing checkout in Windchill not possible</t>
  </si>
  <si>
    <t>Re: INC110002884-Drawing checkout in Windchill not possible</t>
  </si>
  <si>
    <t>Incident INC109982411- Faulty Associated End Items in Design Change Notice is reopened</t>
  </si>
  <si>
    <t>Incident INC110012679 has been assigned to group GLB VCE PDM WINDCHILL APPL 2ND</t>
  </si>
  <si>
    <t xml:space="preserve">Re: PTC Case: C18007960 Long running Thread on 13.1.2.0 </t>
  </si>
  <si>
    <t>Your incident INC110002884-Drawing checkout in Windchill not possible state has been changed.</t>
  </si>
  <si>
    <t>INC110037610</t>
  </si>
  <si>
    <t>End item tab is empty or missing some end items</t>
  </si>
  <si>
    <t>INC110037425</t>
  </si>
  <si>
    <t>DCT flow is stuck 126740WC-001</t>
  </si>
  <si>
    <t>INC110043905</t>
  </si>
  <si>
    <t>718397</t>
  </si>
  <si>
    <t>DCT stuck in process</t>
  </si>
  <si>
    <t>717289</t>
  </si>
  <si>
    <t>INC110039787</t>
  </si>
  <si>
    <t>126692WC - workflow stuck</t>
  </si>
  <si>
    <t>INC110144605</t>
  </si>
  <si>
    <t>Wygenerowanie nowego change report DCN</t>
  </si>
  <si>
    <t>Kamil Jachyra</t>
  </si>
  <si>
    <t>INC110143773</t>
  </si>
  <si>
    <t>Integration failure reported for POTS</t>
  </si>
  <si>
    <t>INC110082629</t>
  </si>
  <si>
    <t>724968</t>
  </si>
  <si>
    <t>Different Access in Different Containers</t>
  </si>
  <si>
    <t>INC110080974</t>
  </si>
  <si>
    <t>719054</t>
  </si>
  <si>
    <t>126611WC hanging</t>
  </si>
  <si>
    <t>725358</t>
  </si>
  <si>
    <t>OFFICE Worker status-20-Apr-2026</t>
  </si>
  <si>
    <t>Incident INC110151298 has been assigned to group GLB VCE PDM WINDCHILL APPL 2ND</t>
  </si>
  <si>
    <t>[LINUX MONTHLY PATCHING] – DEDICATED SERVERS - Change Request - CHG100341606 - Apr Week D</t>
  </si>
  <si>
    <t>RE: PTC Case: C18050773 / VOLVO INFORMATION TECHNOLOGY AB / Severity 1 - Business Critically Impacted</t>
  </si>
  <si>
    <t>Pathipaka, Sagar</t>
  </si>
  <si>
    <t>spathipaka@ptc.com</t>
  </si>
  <si>
    <t>Incident INC110144605 has been assigned to group GLB VCE PDM WINDCHILL APPL 2ND</t>
  </si>
  <si>
    <t>Incident INC110143773 has been assigned to group GLB VCE PDM WINDCHILL APPL 2ND</t>
  </si>
  <si>
    <t>Re: Office Worker status on 21Apr2026</t>
  </si>
  <si>
    <t>Office Worker status on 21Apr2026</t>
  </si>
  <si>
    <t>RE: Need help to get WindU output for incorrect version story</t>
  </si>
  <si>
    <t>Awaiting AOM</t>
  </si>
  <si>
    <t>Sv: Need help to get WindU output for incorrect version story</t>
  </si>
  <si>
    <t>RE: INC110109361-RAPID integration failure in production</t>
  </si>
  <si>
    <t>Incident INC110136752 has been assigned to group GLB VCE PDM WINDCHILL APPL 2ND</t>
  </si>
  <si>
    <t>Re: OFFICE Worker status-20-Apr-2026</t>
  </si>
  <si>
    <t>Automatic reply: INC110109361-RAPID integration failure in production</t>
  </si>
  <si>
    <t>RE: POTS Integration Issue in PROD – NULL Values in PARTS Generation</t>
  </si>
  <si>
    <t>Action Required</t>
  </si>
  <si>
    <t>POTS Integration Issue in PROD – NULL Values in PARTS Generation</t>
  </si>
  <si>
    <t>Re: INC110109361-RAPID integration failure in production</t>
  </si>
  <si>
    <t>Incident INC110128605 has been assigned to group GLB VCE PDM WINDCHILL APPL 2ND</t>
  </si>
  <si>
    <t>RE: INC110127779 || ANSIBLETOWER : segotl3489 rhel_update fail</t>
  </si>
  <si>
    <t>Vijayaragavan</t>
  </si>
  <si>
    <t>vijayaragavanc@hcltech.com</t>
  </si>
  <si>
    <t>Re: OFFICE Worker status-17-Apr-2026</t>
  </si>
  <si>
    <t>Re: Need help to get WindU output for incorrect version story</t>
  </si>
  <si>
    <t>OFFICE Worker status-17-Apr-2026</t>
  </si>
  <si>
    <t>Incident INC110104665 has been assigned to group GLB VCE PDM WINDCHILL APPL 2ND</t>
  </si>
  <si>
    <t>Incident INC110115763 has been assigned to group GLB VCE PDM WINDCHILL APPL 2ND</t>
  </si>
  <si>
    <t>Change task CTASK100518464 has been assigned to group GLB VCE PDM WINDCHILL APPL 2ND</t>
  </si>
  <si>
    <t>Your incident INC110115852-Part version report missing Information for DSM note state has been changed.</t>
  </si>
  <si>
    <t>INC110109361-RAPID integration failure in production</t>
  </si>
  <si>
    <t>Re: PTC Case: C18044367 CPU Usage High on Production [13.0.2.7] Slave Nodes</t>
  </si>
  <si>
    <t>RE: QA - Office worker is not offline</t>
  </si>
  <si>
    <t>Action Required: Orphan incidents</t>
  </si>
  <si>
    <t>Sunil Prasad Kundu (Consultant)</t>
  </si>
  <si>
    <t>sunil.prasad.kundu@consultant.volvo.com</t>
  </si>
  <si>
    <t>Incident INC110117104 has been assigned to group GLB VCE PDM WINDCHILL APPL 2ND</t>
  </si>
  <si>
    <t>Incident INC110115852 has been assigned to group GLB VCE PDM WINDCHILL APPL 2ND</t>
  </si>
  <si>
    <t>Incident INC110113292 has been assigned to group GLB VCE PDM WINDCHILL APPL 2ND</t>
  </si>
  <si>
    <t>QA - Office worker is not offline</t>
  </si>
  <si>
    <t>{LINUX MONTHLY PATCHING] – DEDICATED SERVERS - Change Request - CHG100339531 - Apr Week C</t>
  </si>
  <si>
    <t>Your incident INC110109361-Engineering Document - 54194296, WIRING DIAGRAM;D13 ART STAGE V, VOE, 04.2 missing in rapid state has been changed.</t>
  </si>
  <si>
    <t>Incident INC110104102 has been assigned to group GLB VCE PDM WINDCHILL APPL 2ND</t>
  </si>
  <si>
    <t>Re: PTC Case: C18050773 / VOLVO INFORMATION TECHNOLOGY AB / Severity 1 - Business Critically Impacted</t>
  </si>
  <si>
    <t>Dipshree Dashrath Shinde</t>
  </si>
  <si>
    <t>Recall: PTC Case: C18050773 / VOLVO INFORMATION TECHNOLOGY AB / Severity 1 - Business Critically Impacted</t>
  </si>
  <si>
    <t>Incident INC110109361 has been assigned to group GLB VCE PDM WINDCHILL APPL 2ND</t>
  </si>
  <si>
    <t>Incident INC110108162 has been assigned to group GLB VCE PDM WINDCHILL APPL 2ND</t>
  </si>
  <si>
    <t>Surendra Reddy,Forwarded to L1</t>
  </si>
  <si>
    <t>Worker status on 14-Apr-2026</t>
  </si>
  <si>
    <t>Incident INC110103749 has been assigned to group GLB VCE PDM WINDCHILL APPL 2ND</t>
  </si>
  <si>
    <t>User FWD to Other group</t>
  </si>
  <si>
    <t>Incident INC110102619 has been assigned to group GLB VCE PDM WINDCHILL APPL 2ND</t>
  </si>
  <si>
    <t>Re: PTC Desktop Sharing Session to review C18050773</t>
  </si>
  <si>
    <t>Incident INC110103035 has been assigned to group GLB VCE PDM WINDCHILL APPL 2ND</t>
  </si>
  <si>
    <t>INC110037610 – Incorrect (MCN Planner) Plant Visibility in Setup Participants Tab for Audit Change Notice Task</t>
  </si>
  <si>
    <t>Add to Workspace option is not available in few containers</t>
  </si>
  <si>
    <t>Incident INC110038349 has been assigned to group GLB VCE PDM WINDCHILL APPL 2ND</t>
  </si>
  <si>
    <t>Change task CTASK100515911 has been assigned to group GLB VCE PDM WINDCHILL APPL 2ND</t>
  </si>
  <si>
    <t>Incident INC110093162 has been assigned to group GLB VCE PDM WINDCHILL APPL 2ND</t>
  </si>
  <si>
    <t>Incident INC110090975 has been assigned to group GLB VCE PDM WINDCHILL APPL 2ND</t>
  </si>
  <si>
    <t>Sv: PTC Case: C18007960 - getPartStructureED thread issue causes High CPU Usage.</t>
  </si>
  <si>
    <t>Incident INC110088137 has been assigned to group GLB VCE PDM WINDCHILL APPL 2ND</t>
  </si>
  <si>
    <t>RE: PTC Case: C18044367 CPU Usage High on Production [13.0.2.7] Slave Nodes</t>
  </si>
  <si>
    <t>RE: OFFICE Worker status-09-Apr-2026</t>
  </si>
  <si>
    <t>Re: OFFICE Worker status-09-Apr-2026</t>
  </si>
  <si>
    <t>OFFICE Worker status-09-Apr-2026</t>
  </si>
  <si>
    <t>Worker Status on 9-4-2026</t>
  </si>
  <si>
    <t>Incident INC110083666 has been assigned to group GLB VCE PDM WINDCHILL APPL 2ND</t>
  </si>
  <si>
    <t>Incident INC110082629 has been assigned to group GLB VCE PDM WINDCHILL APPL 2ND</t>
  </si>
  <si>
    <t>Incident INC110080974 has been assigned to group GLB VCE PDM WINDCHILL APPL 2ND</t>
  </si>
  <si>
    <t>Incident INC110077226 has been assigned to group GLB VCE PDM WINDCHILL APPL 2ND</t>
  </si>
  <si>
    <t>Incident INC110076635 has been assigned to group GLB VCE PDM WINDCHILL APPL 2ND</t>
  </si>
  <si>
    <t>Incident INC110073943 has been assigned to group GLB VCE PDM WINDCHILL APPL 2ND</t>
  </si>
  <si>
    <t>RE: Worker Status on Production: 03-04-2026</t>
  </si>
  <si>
    <t>Incident INC110063900 has been assigned to group GLB VCE PDM WINDCHILL APPL 2ND</t>
  </si>
  <si>
    <t>Duplicate</t>
  </si>
  <si>
    <t>Incident INC110063841 has been assigned to group GLB VCE PDM WINDCHILL APPL 2ND</t>
  </si>
  <si>
    <t>Incident INC110063508 has been assigned to group GLB VCE PDM WINDCHILL APPL 2ND</t>
  </si>
  <si>
    <t>Duplicate,cancelled</t>
  </si>
  <si>
    <t>Incident INC110062464 has been assigned to group GLB VCE PDM WINDCHILL APPL 2ND</t>
  </si>
  <si>
    <t>Re: Worker Status on Production: 03-04-2026</t>
  </si>
  <si>
    <t>Incident INC110060465 has been assigned to group GLB VCE PDM WINDCHILL APPL 2ND</t>
  </si>
  <si>
    <t>Incident INC110059596 has been assigned to group GLB VCE PDM WINDCHILL APPL 2ND</t>
  </si>
  <si>
    <t>Worker Status on Production: 03-04-2026</t>
  </si>
  <si>
    <t>Incident INC110060399 has been assigned to group GLB VCE PDM WINDCHILL APPL 2ND</t>
  </si>
  <si>
    <t>Incident INC110060015 has been assigned to group GLB VCE PDM WINDCHILL APPL 2ND</t>
  </si>
  <si>
    <t>Incident INC110059921 has been assigned to group GLB VCE PDM WINDCHILL APPL 2ND</t>
  </si>
  <si>
    <t>Incident INC110060447 has been assigned to group GLB VCE PDM WINDCHILL APPL 2ND</t>
  </si>
  <si>
    <t>Incident INC110060198 has been assigned to group GLB VCE PDM WINDCHILL APPL 2ND</t>
  </si>
  <si>
    <t>Incident INC110057420 has been assigned to group GLB VCE PDM WINDCHILL APPL 2ND</t>
  </si>
  <si>
    <t>Incident INC109647199- older drawing revision is identified as latest version in Windchill is reopened</t>
  </si>
  <si>
    <t>Incident INC110056888 has been assigned to group GLB VCE PDM WINDCHILL APPL 2ND</t>
  </si>
  <si>
    <t>RE: INC110037425-DCT workflow is stuck 126740WC-001</t>
  </si>
  <si>
    <t>Sv: INC110037425-DCT workflow is stuck 126740WC-001</t>
  </si>
  <si>
    <t>Incident INC110052611 has been assigned to group GLB VCE PDM WINDCHILL APPL 2ND</t>
  </si>
  <si>
    <t>Incident INC110048257 has been assigned to group GLB VCE PDM WINDCHILL APPL 2ND</t>
  </si>
  <si>
    <t>Incident INC110051800 has been assigned to group GLB VCE PDM WINDCHILL APPL 2ND</t>
  </si>
  <si>
    <t>Incident INC110051117 has been assigned to group GLB VCE PDM WINDCHILL APPL 2ND</t>
  </si>
  <si>
    <t>Incident INC110048428 has been assigned to group GLB VCE PDM WINDCHILL APPL 2ND</t>
  </si>
  <si>
    <t>Pradnya,Duplicate</t>
  </si>
  <si>
    <t>Incident INC110048365 has been assigned to group GLB VCE PDM WINDCHILL APPL 2ND</t>
  </si>
  <si>
    <t>Incident INC110047859 has been assigned to group GLB VCE PDM WINDCHILL APPL 2ND</t>
  </si>
  <si>
    <t>Incident INC110047655 has been assigned to group GLB VCE PDM WINDCHILL APPL 2ND</t>
  </si>
  <si>
    <t>Incident INC110047580 has been assigned to group GLB VCE PDM WINDCHILL APPL 2ND</t>
  </si>
  <si>
    <t>Incident INC110046639 has been assigned to group GLB VCE PDM WINDCHILL APPL 2ND</t>
  </si>
  <si>
    <t>INC110037425-DCT workflow is stuck 126740WC-001</t>
  </si>
  <si>
    <t>Incident INC110043905 has been assigned to group GLB VCE PDM WINDCHILL APPL 2ND</t>
  </si>
  <si>
    <t>Incident INC110041199 has been assigned to group GLB VCE PDM WINDCHILL APPL 2ND</t>
  </si>
  <si>
    <t>Incident INC110040892 has been assigned to group GLB VCE PDM WINDCHILL APPL 2ND</t>
  </si>
  <si>
    <t>Incident INC110041272 has been assigned to group GLB VCE PDM WINDCHILL APPL 2ND</t>
  </si>
  <si>
    <t>Incident INC110041349 has been assigned to group GLB VCE PDM WINDCHILL APPL 2ND</t>
  </si>
  <si>
    <t>Incident INC110039787 has been assigned to group GLB VCE PDM WINDCHILL APPL 2ND</t>
  </si>
  <si>
    <t>Incident INC110037610 has been assigned to group GLB VCE PDM WINDCHILL APPL 2ND</t>
  </si>
  <si>
    <t>Incident INC110037425 has been assigned to group GLB VCE PDM WINDCHILL APPL 2ND</t>
  </si>
  <si>
    <t>POTS</t>
  </si>
  <si>
    <t>wt.doc.WTDocument:20197773519</t>
  </si>
  <si>
    <t>wt.doc.WTDocument:20124523309</t>
  </si>
  <si>
    <t>Your incident INC110176522-see INC110085834...  Multiple where used report not working state has been changed.</t>
  </si>
  <si>
    <t>Snow Resolved,Information</t>
  </si>
  <si>
    <t>RE: INC110153817 - Data Issue FM|oa_SyncMDSStatus on 22nd Apr 2026.</t>
  </si>
  <si>
    <t>Incident INC110176522 has been assigned to group GLB VCE PDM WINDCHILL APPL 2ND</t>
  </si>
  <si>
    <t>Incident INC110177035 has been assigned to group GLB VCE PDM WINDCHILL APPL 2ND</t>
  </si>
  <si>
    <t>Incident INC110175483 has been assigned to group GLB VCE PDM WINDCHILL APPL 2ND</t>
  </si>
  <si>
    <t>Incident INC110174936 has been assigned to group GLB VCE PDM WINDCHILL APPL 2ND</t>
  </si>
  <si>
    <t>Incident INC110174282 has been assigned to group GLB VCE PDM WINDCHILL APPL 2ND</t>
  </si>
  <si>
    <t>Incident INC110171079 has been assigned to group GLB VCE PDM WINDCHILL APPL 2ND</t>
  </si>
  <si>
    <t>Snow Resolved</t>
  </si>
  <si>
    <t xml:space="preserve">RE: INC110171079 : ODC Integration Failure on Production. </t>
  </si>
  <si>
    <t>Incident INC110166545 has been assigned to group GLB VCE PDM WINDCHILL APPL 2ND</t>
  </si>
  <si>
    <t>Incident INC110166647 has been assigned to group GLB VCE PDM WINDCHILL APPL 2ND</t>
  </si>
  <si>
    <t>Incident INC110165724 has been assigned to group GLB VCE PDM WINDCHILL APPL 2ND</t>
  </si>
  <si>
    <t>Incident INC110165868 has been assigned to group GLB VCE PDM WINDCHILL APPL 2ND</t>
  </si>
  <si>
    <t xml:space="preserve">INC110171079 : ODC Integration Failure on Production. </t>
  </si>
  <si>
    <t>RE: PTC Case: C18050773 : older drawing revision is identified as latest version in Windchill</t>
  </si>
  <si>
    <t>Change task CTASK100523582 has been assigned to group GLB VCE PDM WINDCHILL APPL 2ND</t>
  </si>
  <si>
    <t>Change task CTASK100523567 has been assigned to group GLB VCE PDM WINDCHILL APPL 2ND</t>
  </si>
  <si>
    <t>Incident INC110166687 has been assigned to group GLB VCE PDM WINDCHILL APPL 2ND</t>
  </si>
  <si>
    <t>Incident INC110166198 has been assigned to group GLB VCE PDM WINDCHILL APPL 2ND</t>
  </si>
  <si>
    <t>Incident INC110165808 has been assigned to group GLB VCE PDM WINDCHILL APPL 2ND</t>
  </si>
  <si>
    <t>Your incident INC110153784-127148WC. Missing "Associated End Item". state has been changed.</t>
  </si>
  <si>
    <t>RE: Integration failure reported for FACTORYMASTER on production.</t>
  </si>
  <si>
    <t>Incident INC110153784 has been assigned to group GLB VCE PDM WINDCHILL APPL 2ND</t>
  </si>
  <si>
    <t>RE: OFFICE Worker status-24-Apr-2026</t>
  </si>
  <si>
    <t>Re: OFFICE Worker status-24-Apr-2026</t>
  </si>
  <si>
    <t>OFFICE Worker status-24-Apr-2026</t>
  </si>
  <si>
    <t>Incident INC110156749 has been assigned to group GLB VCE PDM WINDCHILL APPL 2ND</t>
  </si>
  <si>
    <t>Incident INC110153214 has been assigned to group GLB VCE PDM WINDCHILL APPL 2ND</t>
  </si>
  <si>
    <t>Integration failure reported for FACTORYMASTER on production.</t>
  </si>
  <si>
    <t>Incident INC110155414 has been assigned to group GLB VCE PDM WINDCHILL APPL 2ND</t>
  </si>
  <si>
    <t>INC110176522</t>
  </si>
  <si>
    <t>see INC110085834...  Multiple where used report not working</t>
  </si>
  <si>
    <t>INC110155414</t>
  </si>
  <si>
    <t>Integration failure reported for FACTORYMASTER</t>
  </si>
  <si>
    <t>INC110151298</t>
  </si>
  <si>
    <t>DCN 118252WC - Fault in ChangeReport</t>
  </si>
  <si>
    <t>Dennis Andersson</t>
  </si>
  <si>
    <t>738908</t>
  </si>
  <si>
    <t>752677</t>
  </si>
  <si>
    <t>735971</t>
  </si>
  <si>
    <t>751831</t>
  </si>
  <si>
    <t>Incident INC110252145 has been assigned to group GLB VCE PDM WINDCHILL APPL 2ND</t>
  </si>
  <si>
    <t>OFFICE Worker status-18-May-2026</t>
  </si>
  <si>
    <t>Incident INC110196467- RAPID transaction failed for 54523319, COTS components, Aurora, VAS, 04.2 on production is reopened</t>
  </si>
  <si>
    <t>Re:||INC110269465||ANSIBLETOWER : segotl3486 unreachable</t>
  </si>
  <si>
    <t>Anil Panwar</t>
  </si>
  <si>
    <t>anil.panwar@hcltech.com</t>
  </si>
  <si>
    <t>RE: Unable to Log in to Windchill Production with Viewer License (ec90287)</t>
  </si>
  <si>
    <t xml:space="preserve">RE: INC110144605 - DCN Change Report Issue – 122412WC </t>
  </si>
  <si>
    <t>Re: OFFICE Worker status-14-May-2026</t>
  </si>
  <si>
    <t>OFFICE Worker status-14-May-2026</t>
  </si>
  <si>
    <t>Haikyung Kim (Consultant)</t>
  </si>
  <si>
    <t>Change task CTASK100533793 has been assigned to group GLB VCE PDM WINDCHILL APPL 2ND</t>
  </si>
  <si>
    <t>Incident INC110256788 has been assigned to group GLB VCE PDM WINDCHILL APPL 2ND</t>
  </si>
  <si>
    <t>Re: OFFICE Worker status-13-May-2026</t>
  </si>
  <si>
    <t>OFFICE Worker status-13-May-2026</t>
  </si>
  <si>
    <t xml:space="preserve">Sv: INC110144605 - DCN Change Report Issue – 122412WC </t>
  </si>
  <si>
    <t xml:space="preserve">INC110144605 - DCN Change Report Issue – 122412WC </t>
  </si>
  <si>
    <t>{LINUX MONTHLY PATCHING] – DEDICATED SERVERS - Change Request - CHG100346976 - May Week C</t>
  </si>
  <si>
    <t>RE: Optiv EXC Changwon</t>
  </si>
  <si>
    <t>Helpdesk VCE ESW</t>
  </si>
  <si>
    <t>vceeswhelpdesk@volvo.com</t>
  </si>
  <si>
    <t>FW: Optiv EXC Changwon</t>
  </si>
  <si>
    <t>gent.wisting@volvo.com</t>
  </si>
  <si>
    <t>Incident INC110251804 has been assigned to group GLB VCE PDM WINDCHILL APPL 2ND</t>
  </si>
  <si>
    <t>RE: OFFICE Worker status-12-May-2026</t>
  </si>
  <si>
    <t>Re: OFFICE Worker status-12-May-2026</t>
  </si>
  <si>
    <t>Sv: INC109982411- Faulty Associated End Items in Design Change Notice</t>
  </si>
  <si>
    <t>RE: INC109982411- Faulty Associated End Items in Design Change Notice</t>
  </si>
  <si>
    <t>OFFICE Worker status-12-May-2026</t>
  </si>
  <si>
    <t>Incident INC110234201 has been assigned to group GLB VCE PDM WINDCHILL APPL 2ND</t>
  </si>
  <si>
    <t>Incident INC110233934 has been assigned to group GLB VCE PDM WINDCHILL APPL 2ND</t>
  </si>
  <si>
    <t>Incident INC110239903 has been assigned to group GLB VCE PDM WINDCHILL APPL 2ND</t>
  </si>
  <si>
    <t>Re: OFFICE Worker status-11-May-2026</t>
  </si>
  <si>
    <t>OFFICE Worker status-11-May-2026</t>
  </si>
  <si>
    <t>Your incident INC110183642-125153WC  missing affected plant CHW state has been changed.</t>
  </si>
  <si>
    <t>Incident INC110234365 has been assigned to group GLB VCE PDM WINDCHILL APPL 2ND</t>
  </si>
  <si>
    <t>Incident INC110234314 has been assigned to group GLB VCE PDM WINDCHILL APPL 2ND</t>
  </si>
  <si>
    <t>Incident INC110232517 has been assigned to group GLB VCE PDM WINDCHILL APPL 2ND</t>
  </si>
  <si>
    <t>Incident INC110231296 has been assigned to group GLB VCE PDM WINDCHILL APPL 2ND</t>
  </si>
  <si>
    <t>Incident INC110229358 has been assigned to group GLB VCE PDM WINDCHILL APPL 2ND</t>
  </si>
  <si>
    <t>Incident INC110228527 has been assigned to group GLB VCE PDM WINDCHILL APPL 2ND</t>
  </si>
  <si>
    <t>Incident INC110228287 has been assigned to group GLB VCE PDM WINDCHILL APPL 2ND</t>
  </si>
  <si>
    <t>Incident INC110227933 has been assigned to group GLB VCE PDM WINDCHILL APPL 2ND</t>
  </si>
  <si>
    <t>Incident INC109501444- segotl2690 : CPU Usage is High is reopened</t>
  </si>
  <si>
    <t>Incident INC110227466- segotl3786 : CPU Usage is High is reopened</t>
  </si>
  <si>
    <t>Incident INC110227597- segotl3787 : CPU Usage is High is reopened</t>
  </si>
  <si>
    <t>Re: PTC Case: C18050773 : older drawing revision is identified as latest version in Windchill</t>
  </si>
  <si>
    <t>Re: OFFICE Worker status-08-May-2026</t>
  </si>
  <si>
    <t>OFFICE Worker status-08-May-2026</t>
  </si>
  <si>
    <t>Request Item RITM103619300 notification -- Service Request for VCE supported Services and applications</t>
  </si>
  <si>
    <t>Catalog Task SCTASK104029228 has been assigned to GLB VCE PDM WINDCHILL APPL 2ND</t>
  </si>
  <si>
    <t>Incident INC110227597 has been assigned to group GLB VCE PDM WINDCHILL APPL 2ND</t>
  </si>
  <si>
    <t>Incident INC110227466 has been assigned to group GLB VCE PDM WINDCHILL APPL 2ND</t>
  </si>
  <si>
    <t>Incident INC110226787 has been assigned to group GLB VCE PDM WINDCHILL APPL 2ND</t>
  </si>
  <si>
    <t>Incident INC110216521 has been assigned to group GLB VCE PDM WINDCHILL APPL 2ND</t>
  </si>
  <si>
    <t>Incident INC110223592 has been assigned to group GLB VCE PDM WINDCHILL APPL 2ND</t>
  </si>
  <si>
    <t>RE: incorrect content of Windchill-&gt;BEAT part file</t>
  </si>
  <si>
    <t>Incident INC110216663 has been assigned to group GLB VCE PDM WINDCHILL APPL 2ND</t>
  </si>
  <si>
    <t>Awaiting Vendor,Information</t>
  </si>
  <si>
    <t>INC110216521-part type conversion request from Design to Service released</t>
  </si>
  <si>
    <t>Re: OFFICE Worker status-06-May-2026</t>
  </si>
  <si>
    <t>OFFICE Worker status-06-May-2026</t>
  </si>
  <si>
    <t>Incident INC110192125 has been assigned to group GLB VCE PDM WINDCHILL APPL 2ND</t>
  </si>
  <si>
    <t>RE: Reminder: Theorem License Expiry – End of Month (Europe &amp; Global)</t>
  </si>
  <si>
    <t>Re: Reminder: Theorem License Expiry – End of Month (Europe &amp; Global)</t>
  </si>
  <si>
    <t>Patchigolla N V Pavan Kumar</t>
  </si>
  <si>
    <t>pavan.kumar.patchigolla.n.v@volvo.com</t>
  </si>
  <si>
    <t>Incident INC110198012 has been assigned to group GLB VCE PDM WINDCHILL APPL 2ND</t>
  </si>
  <si>
    <t>Incident INC110144605- Wygenerowanie nowego change report DCN is reopened</t>
  </si>
  <si>
    <t>Incident INC110198647 has been assigned to group GLB VCE PDM WINDCHILL APPL 2ND</t>
  </si>
  <si>
    <t>Incident INC110198489 has been assigned to group GLB VCE PDM WINDCHILL APPL 2ND</t>
  </si>
  <si>
    <t>Incident INC110197737 has been assigned to group GLB VCE PDM WINDCHILL APPL 2ND</t>
  </si>
  <si>
    <t>Incident INC110197722 has been assigned to group GLB VCE PDM WINDCHILL APPL 2ND</t>
  </si>
  <si>
    <t>Incident INC110195893 has been assigned to group GLB VCE PDM WINDCHILL APPL 2ND</t>
  </si>
  <si>
    <t>Incident INC110195692 has been assigned to group GLB VCE PDM WINDCHILL APPL 2ND</t>
  </si>
  <si>
    <t>Incident INC110195622 has been assigned to group GLB VCE PDM WINDCHILL APPL 2ND</t>
  </si>
  <si>
    <t>Incident INC110195213 has been assigned to group GLB VCE PDM WINDCHILL APPL 2ND</t>
  </si>
  <si>
    <t>Production windchill is down</t>
  </si>
  <si>
    <t>Major Incident Candidate INC110203434 has been assigned to you for review</t>
  </si>
  <si>
    <t>Incident INC110203434 has been assigned to group GLB VCE PDM WINDCHILL APPL 2ND</t>
  </si>
  <si>
    <t>Major Incident Candidate INC110203307 has been assigned to you for review</t>
  </si>
  <si>
    <t>Incident INC110203307 has been assigned to group GLB VCE PDM WINDCHILL APPL 2ND</t>
  </si>
  <si>
    <t>Incident INC110197470 has been assigned to group GLB VCE PDM WINDCHILL APPL 2ND</t>
  </si>
  <si>
    <t>Incident INC110197503 has been assigned to group GLB VCE PDM WINDCHILL APPL 2ND</t>
  </si>
  <si>
    <t>Incident INC110196467 has been assigned to group GLB VCE PDM WINDCHILL APPL 2ND</t>
  </si>
  <si>
    <t>Worker status 01-May-2026</t>
  </si>
  <si>
    <t>Incident INC110179255 has been assigned to group GLB VCE PDM WINDCHILL APPL 2ND</t>
  </si>
  <si>
    <t>Incident INC110189151 has been assigned to group GLB VCE PDM WINDCHILL APPL 2ND</t>
  </si>
  <si>
    <t>Incident INC110189081 has been assigned to group GLB VCE PDM WINDCHILL APPL 2ND</t>
  </si>
  <si>
    <t>Incident INC110188984 has been assigned to group GLB VCE PDM WINDCHILL APPL 2ND</t>
  </si>
  <si>
    <t>Incident INC110188907 has been assigned to group GLB VCE PDM WINDCHILL APPL 2ND</t>
  </si>
  <si>
    <t>Incident INC110188527 has been assigned to group GLB VCE PDM WINDCHILL APPL 2ND</t>
  </si>
  <si>
    <t>Incident INC110188425 has been assigned to group GLB VCE PDM WINDCHILL APPL 2ND</t>
  </si>
  <si>
    <t>Worker Status: 30Apr2026</t>
  </si>
  <si>
    <t>Support SAP PI Integration Support/Maintenance</t>
  </si>
  <si>
    <t>Support.SAPPI@volvo.com</t>
  </si>
  <si>
    <t>Incident INC110188447 has been assigned to group GLB VCE PDM WINDCHILL APPL 2ND</t>
  </si>
  <si>
    <t>RE: ATB worker is unavailable</t>
  </si>
  <si>
    <t>Re: ATB worker is unavailable</t>
  </si>
  <si>
    <t>Incident INC110183100 has been assigned to group GLB VCE PDM WINDCHILL APPL 2ND</t>
  </si>
  <si>
    <t>Incident INC110183024 has been assigned to group GLB VCE PDM WINDCHILL APPL 2ND</t>
  </si>
  <si>
    <t>Incident INC110182926 has been assigned to group GLB VCE PDM WINDCHILL APPL 2ND</t>
  </si>
  <si>
    <t>Incident INC110182667 has been assigned to group GLB VCE PDM WINDCHILL APPL 2ND</t>
  </si>
  <si>
    <t>Incident INC110182505 has been assigned to group GLB VCE PDM WINDCHILL APPL 2ND</t>
  </si>
  <si>
    <t>Incident INC110181816 has been assigned to group GLB VCE PDM WINDCHILL APPL 2ND</t>
  </si>
  <si>
    <t>Incident INC110183500 has been assigned to group GLB VCE PDM WINDCHILL APPL 2ND</t>
  </si>
  <si>
    <t>Incident INC110183642 has been assigned to group GLB VCE PDM WINDCHILL APPL 2ND</t>
  </si>
  <si>
    <t>ATB worker is unavailable</t>
  </si>
  <si>
    <t>Incident INC110173319 has been assigned to group GLB VCE PDM WINDCHILL APPL 2ND</t>
  </si>
  <si>
    <t>cancelled,Forwarded to L1</t>
  </si>
  <si>
    <t>RE: INC110196467: RAPID transaction failure for 54523319, COTS components, Aurora, VAS, 04.2 in the Production environment.</t>
  </si>
  <si>
    <t>Automatic reply: Unable to Log in to Windchill Production with Viewer License (ec90287)</t>
  </si>
  <si>
    <t>sejong.lee@volvo.com</t>
  </si>
  <si>
    <t>RE: SCTASK104077993-DCN will not move to state Released</t>
  </si>
  <si>
    <t>Re: Worker Status 25-05-2026</t>
  </si>
  <si>
    <t>Re: SCTASK104077993-DCN will not move to state Released</t>
  </si>
  <si>
    <t>SCTASK104077993-DCN will not move to state Released</t>
  </si>
  <si>
    <t>RE: PTC Case: C18074171 / VOLVO INFORMATION TECHNOLOGY AB / Severity 1 - Business Critically Impacted</t>
  </si>
  <si>
    <t>Incident INC110315240 has been assigned to group GLB VCE PDM WINDCHILL APPL 2ND</t>
  </si>
  <si>
    <t>Catalog Task SCTASK104077993 has been assigned to GLB VCE PDM WINDCHILL APPL 2ND</t>
  </si>
  <si>
    <t>INC110196467: RAPID transaction failure for 54523319, COTS components, Aurora, VAS, 04.2 in the Production environment.</t>
  </si>
  <si>
    <t>Desai, Sandeep</t>
  </si>
  <si>
    <t>sdesai@ptc.com</t>
  </si>
  <si>
    <t>Worker Status 25-05-2026</t>
  </si>
  <si>
    <t>Incident INC110310367 has been assigned to group GLB VCE PDM WINDCHILL APPL 2ND</t>
  </si>
  <si>
    <t>Incident INC110309727 has been assigned to group GLB VCE PDM WINDCHILL APPL 2ND</t>
  </si>
  <si>
    <t>Incident INC110308774 has been assigned to group GLB VCE PDM WINDCHILL APPL 2ND</t>
  </si>
  <si>
    <t>Change task CTASK100539248 has been assigned to group GLB VCE PDM WINDCHILL APPL 2ND</t>
  </si>
  <si>
    <t>Change task CTASK100539258 has been assigned to group GLB VCE PDM WINDCHILL APPL 2ND</t>
  </si>
  <si>
    <t>RE: Huge CATPart</t>
  </si>
  <si>
    <t>Information,Action Required</t>
  </si>
  <si>
    <t>RE: Catia drawings publishing in colour</t>
  </si>
  <si>
    <t>Re: Catia drawings publishing in colour</t>
  </si>
  <si>
    <t>Catia drawings publishing in colour</t>
  </si>
  <si>
    <t>Incident INC110302429 has been assigned to group GLB VCE PDM WINDCHILL APPL 2ND</t>
  </si>
  <si>
    <t>RE: PTC Case: C18076027 / VOLVO INFORMATION TECHNOLOGY AB / Severity 1 - Business Critically Impacted</t>
  </si>
  <si>
    <t>Gudla, Seshu Kumar</t>
  </si>
  <si>
    <t>sgudla@ptc.com</t>
  </si>
  <si>
    <t>Completed,Awaiting Vendor</t>
  </si>
  <si>
    <t>Incident INC110298925 has been assigned to group GLB VCE PDM WINDCHILL APPL 2ND</t>
  </si>
  <si>
    <t>Completed,Information</t>
  </si>
  <si>
    <t>Incident INC110299349 has been assigned to group GLB VCE PDM WINDCHILL APPL 2ND</t>
  </si>
  <si>
    <t>Sv: INC109647199: Need help to get WindU output for incorrect version story</t>
  </si>
  <si>
    <t>INC109647199: Need help to get WindU output for incorrect version story</t>
  </si>
  <si>
    <t>[LINUX MONTHLY PATCHING] – DEDICATED SERVERS - Change Request - CHG100348502 - May Week D</t>
  </si>
  <si>
    <t>Re: PTC Case: C18074171 / VOLVO INFORMATION TECHNOLOGY AB / Severity 1 - Business Critically Impacted</t>
  </si>
  <si>
    <t>Incident INC110283967 has been assigned to group GLB VCE PDM WINDCHILL APPL 2ND</t>
  </si>
  <si>
    <t>Failed to process payloadEntry: id: 1778913169363-3-1988923110 payload: Scheduler MCN Planned Date Update</t>
  </si>
  <si>
    <t>56643619</t>
  </si>
  <si>
    <t>Unable to find PVR report for: 56643619 SENSOR;SENSOR;Roof Sensor Pod, RH, Aurora, 04.2 (Design)</t>
  </si>
  <si>
    <t>56643602</t>
  </si>
  <si>
    <t>Unable to find PVR report for: 56643602 SENSOR;Roof Sensor Pod, LH, Aurora, 03.1 (Design)</t>
  </si>
  <si>
    <t>wt.doc.WTDocument:20208777494</t>
  </si>
  <si>
    <t>56336628.CATDRAWING</t>
  </si>
  <si>
    <t>56335974.CATDRAWING</t>
  </si>
  <si>
    <t>56335956.CATDRAWING</t>
  </si>
  <si>
    <t>127468WC</t>
  </si>
  <si>
    <t>Incident INC110300496 has been assigned to group GLB VCE PDM WINDCHILL APPL 2ND</t>
  </si>
  <si>
    <t>Your incident INC110315240-no mapping CoG and volume attribute in Volvo part state has been changed.</t>
  </si>
  <si>
    <t>RE: Follow on task TASK107978132 for WINDCHILL PLM VCE - Windchill VCE Global PLM Tool - Instance has been assigned to your group GLB VCE PDM WINDCHILL APPL 2ND</t>
  </si>
  <si>
    <t>Follow on task TASK107978132 for WINDCHILL PLM VCE - Windchill VCE Global PLM Tool - Instance has been assigned to your group GLB VCE PDM WINDCHILL APPL 2ND</t>
  </si>
  <si>
    <t>RE: INC110320117: Index Server Down</t>
  </si>
  <si>
    <t>Sv: INC110196467: RAPID transaction failure for 54523319, COTS components, Aurora, VAS, 04.2 in the Production environment.</t>
  </si>
  <si>
    <t>Incident INC110326929 has been assigned to group GLB VCE PDM WINDCHILL APPL 2ND</t>
  </si>
  <si>
    <t>Incident INC110326829 has been assigned to group GLB VCE PDM WINDCHILL APPL 2ND</t>
  </si>
  <si>
    <t>Incident INC110323787 has been assigned to group GLB VCE PDM WINDCHILL APPL 2ND</t>
  </si>
  <si>
    <t>Re: INC110321262-ATB Workers are failed to publish</t>
  </si>
  <si>
    <t>Your incident INC110256788-Errors and missing information in both Change Report and_NEW upload files state has been changed.</t>
  </si>
  <si>
    <t>INC110321262-ATB Workers are failed to publish</t>
  </si>
  <si>
    <t>Incident INC110321262 has been assigned to group GLB VCE PDM WINDCHILL APPL 2ND</t>
  </si>
  <si>
    <t>RE: INC110318437-Materials are not showing when typing for VP</t>
  </si>
  <si>
    <t>INC110320117: Index Server Down</t>
  </si>
  <si>
    <t>Incident INC110320117 has been assigned to group GLB VCE PDM WINDCHILL APPL 2ND</t>
  </si>
  <si>
    <t>INC110318437-Materials are not showing when typing for VP</t>
  </si>
  <si>
    <t>Incident INC110318437 has been assigned to group GLB VCE PDM WINDCHILL APPL 2ND</t>
  </si>
  <si>
    <t>Too long fields from Windchill to BEAT</t>
  </si>
  <si>
    <t>Marzena Dulak</t>
  </si>
  <si>
    <t>marzena.dulak@volvo.com</t>
  </si>
  <si>
    <t>Snow Resolved,Forwarded to L1,Pradnya</t>
  </si>
  <si>
    <t>Incident INC110334770 has been assigned to group GLB VCE PDM WINDCHILL APPL 2ND</t>
  </si>
  <si>
    <t>Action Required,Information</t>
  </si>
  <si>
    <t>Re: Huge CATPart</t>
  </si>
  <si>
    <t>Incident INC110343036 has been assigned to group GLB VCE PDM WINDCHILL APPL 2ND</t>
  </si>
  <si>
    <t>RE: INC0020784686 || ANSIBLETOWER : plwrol0014 rhel_update fail</t>
  </si>
  <si>
    <t>Incident INC110342813 has been assigned to group GLB VCE PDM WINDCHILL APPL 2ND</t>
  </si>
  <si>
    <t>Incident INC110265818- incorrect content of Windchill in BEAT part file is reopened</t>
  </si>
  <si>
    <t>Incident INC110342191 has been assigned to group GLB VCE PDM WINDCHILL APPL 2ND</t>
  </si>
  <si>
    <t>Incident INC110338878 has been assigned to group GLB VCE PDM WINDCHILL APPL 2ND</t>
  </si>
  <si>
    <t>Incident INC110338515 has been assigned to group GLB VCE PDM WINDCHILL APPL 2ND</t>
  </si>
  <si>
    <t>Your incident INC110334770-Not possible to create downstream part in service view state has been changed.</t>
  </si>
  <si>
    <t>Re: Office Worker status : 29 May 2026</t>
  </si>
  <si>
    <t>INC110252145 [KR] User (ec90287) unable to Log in to Windchill Production</t>
  </si>
  <si>
    <t>Follow Up</t>
  </si>
  <si>
    <t>Office Worker status : 29 May 2026</t>
  </si>
  <si>
    <t>Incident INC110340506- DCN objects stuck for rework is reopened</t>
  </si>
  <si>
    <t>Incident INC110340506 has been assigned to group GLB VCE PDM WINDCHILL APPL 2ND</t>
  </si>
  <si>
    <t>P2: INC110340684 - Windchill --&gt; Belley and Konz replica server issue</t>
  </si>
  <si>
    <t>Incident INC110340684 has been assigned to group GLB VCE PDM WINDCHILL APPL 2ND</t>
  </si>
  <si>
    <t>Sv: Catia drawings publishing in colour</t>
  </si>
  <si>
    <t>Incident INC110337676 has been assigned to group GLB VCE PDM WINDCHILL APPL 2ND</t>
  </si>
  <si>
    <t>Incident INC110337350 has been assigned to group GLB VCE PDM WINDCHILL APPL 2ND</t>
  </si>
  <si>
    <t>Incident INC110336480 has been assigned to group GLB VCE PDM WINDCHILL APPL 2ND</t>
  </si>
  <si>
    <t>Keshava Murthy HG,Duplicate,cancelled</t>
  </si>
  <si>
    <t>Incident INC110335980 has been assigned to group GLB VCE PDM WINDCHILL APPL 2ND</t>
  </si>
  <si>
    <t>Snow Resolved,Surendra Reddy,Forwarded to L1</t>
  </si>
  <si>
    <t>Surendra Reddy,Snow Resolved</t>
  </si>
  <si>
    <t>wt.doc.WTDocument:20210924763</t>
  </si>
  <si>
    <t>Incident INC110353251 has been assigned to group GLB VCE PDM WINDCHILL APPL 2ND</t>
  </si>
  <si>
    <t>Incident INC110351807 has been assigned to group GLB VCE PDM WINDCHILL APPL 2ND</t>
  </si>
  <si>
    <t>Production Worker status on 01Jun2026</t>
  </si>
  <si>
    <t>RE: Production windchill is down</t>
  </si>
  <si>
    <t>Re: Production windchill is down</t>
  </si>
  <si>
    <t>Major Incident Candidate INC110350015 has been assigned to you for review</t>
  </si>
  <si>
    <t>Incident INC110350015 has been assigned to group GLB VCE PDM WINDCHILL APPL 2ND</t>
  </si>
  <si>
    <t>Snow Resolved,Forwarded to L1,Information</t>
  </si>
  <si>
    <t>Theorem License expired</t>
  </si>
  <si>
    <t>INC110351807 : can't move part 53633518</t>
  </si>
  <si>
    <t>RE: ATB and CATIA Worker status on Worker 01Jun2026</t>
  </si>
  <si>
    <t>Udakhe, Swaraj</t>
  </si>
  <si>
    <t>sudakhe@ptc.com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</si>
</sst>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d/mmm/yy;@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  <protection hidden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2" borderId="0" xfId="0" applyFill="1"/>
    <xf numFmtId="164" fontId="0" fillId="0" borderId="0" xfId="0" applyNumberFormat="1" applyAlignment="1">
      <alignment horizontal="center" vertical="center"/>
    </xf>
    <xf numFmtId="0" fontId="9" fillId="4" borderId="0" xfId="0" applyFont="1" applyFill="1" applyAlignment="1" applyProtection="1">
      <alignment horizontal="center" vertical="center"/>
      <protection hidden="1"/>
    </xf>
    <xf numFmtId="164" fontId="10" fillId="4" borderId="1" xfId="0" applyNumberFormat="1" applyFont="1" applyFill="1" applyBorder="1" applyAlignment="1" applyProtection="1">
      <alignment horizontal="center" vertical="center"/>
      <protection hidden="1"/>
    </xf>
    <xf numFmtId="0" fontId="6" fillId="4" borderId="1" xfId="0" applyFont="1" applyFill="1" applyBorder="1" applyAlignment="1" applyProtection="1">
      <alignment horizontal="center" vertical="center"/>
      <protection hidden="1"/>
    </xf>
    <xf numFmtId="164" fontId="6" fillId="4" borderId="1" xfId="0" applyNumberFormat="1" applyFont="1" applyFill="1" applyBorder="1" applyAlignment="1" applyProtection="1">
      <alignment horizontal="center" vertical="center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164" fontId="1" fillId="2" borderId="1" xfId="0" applyNumberFormat="1" applyFont="1" applyFill="1" applyBorder="1" applyAlignment="1" applyProtection="1">
      <alignment horizontal="center" vertical="center"/>
      <protection hidden="1"/>
    </xf>
    <xf numFmtId="164" fontId="1" fillId="2" borderId="1" xfId="0" applyNumberFormat="1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164" fontId="1" fillId="2" borderId="0" xfId="0" applyNumberFormat="1" applyFont="1" applyFill="1" applyAlignment="1" applyProtection="1">
      <alignment horizontal="center" vertical="center"/>
      <protection hidden="1"/>
    </xf>
    <xf numFmtId="164" fontId="1" fillId="2" borderId="0" xfId="0" applyNumberFormat="1" applyFont="1" applyFill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8" fillId="0" borderId="0" xfId="0" applyFont="1" applyProtection="1"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1" fontId="1" fillId="2" borderId="1" xfId="0" applyNumberFormat="1" applyFont="1" applyFill="1" applyBorder="1" applyAlignment="1" applyProtection="1">
      <alignment horizontal="center" vertical="center"/>
      <protection hidden="1"/>
    </xf>
    <xf numFmtId="1" fontId="1" fillId="2" borderId="0" xfId="0" applyNumberFormat="1" applyFont="1" applyFill="1" applyAlignment="1" applyProtection="1">
      <alignment horizontal="center" vertical="center"/>
      <protection hidden="1"/>
    </xf>
    <xf numFmtId="22" fontId="0" fillId="0" borderId="0" xfId="0" applyNumberFormat="1"/>
    <xf numFmtId="0" fontId="7" fillId="4" borderId="1" xfId="0" applyFont="1" applyFill="1" applyBorder="1" applyAlignment="1" applyProtection="1">
      <alignment horizontal="center" vertical="center"/>
      <protection hidden="1"/>
    </xf>
    <xf numFmtId="0" fontId="7" fillId="4" borderId="4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0" fillId="0" borderId="0" xfId="0" applyNumberFormat="1"/>
  </cellXfs>
  <cellStyles count="2">
    <cellStyle name="Normal" xfId="0" builtinId="0"/>
    <cellStyle name="Normal 2" xfId="1" xr:uid="{6AF3F95F-4990-4A25-A3E9-68C8BAD0E8F1}"/>
  </cellStyles>
  <dxfs count="28">
    <dxf>
      <numFmt numFmtId="0" formatCode="General"/>
    </dxf>
    <dxf>
      <numFmt numFmtId="0" formatCode="General"/>
    </dxf>
    <dxf>
      <numFmt numFmtId="27" formatCode="dd/mm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C09]dd/mmm/yy;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[$-C09]dd/mmm/yy;@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color theme="0"/>
      </font>
    </dxf>
  </dxfs>
  <tableStyles count="1" defaultTableStyle="TableStyleMedium9" defaultPivotStyle="PivotStyleLight16">
    <tableStyle name="Table Style 1" pivot="0" count="1" xr9:uid="{4662563B-4B50-4E91-80F7-7BC6D526329E}">
      <tableStyleElement type="headerRow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DEF06AB-8BF1-4069-9951-2612FDD11244}" autoFormatId="16" applyNumberFormats="0" applyBorderFormats="0" applyFontFormats="0" applyPatternFormats="0" applyAlignmentFormats="0" applyWidthHeightFormats="0">
  <queryTableRefresh nextId="9">
    <queryTableFields count="8">
      <queryTableField id="1" name="Subject" tableColumnId="1"/>
      <queryTableField id="2" name="Name" tableColumnId="2"/>
      <queryTableField id="3" name="Address" tableColumnId="3"/>
      <queryTableField id="4" name="DateTimeReceived" tableColumnId="4"/>
      <queryTableField id="5" name="Importance" tableColumnId="5"/>
      <queryTableField id="6" name="IsRead" tableColumnId="6"/>
      <queryTableField id="7" name="Categories" tableColumnId="7"/>
      <queryTableField id="8" name="HasAttachment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92B9E7-CEEC-4E83-AA59-F6032983963E}" autoFormatId="16" applyNumberFormats="0" applyBorderFormats="0" applyFontFormats="0" applyPatternFormats="0" applyAlignmentFormats="0" applyWidthHeightFormats="0">
  <queryTableRefresh nextId="14">
    <queryTableFields count="5">
      <queryTableField id="1" name="Subject" tableColumnId="1"/>
      <queryTableField id="6" name="Failure Time" tableColumnId="6"/>
      <queryTableField id="4" name="Object Number" tableColumnId="4"/>
      <queryTableField id="7" name="Error Message" tableColumnId="7"/>
      <queryTableField id="3" name="Windchill Server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26C5DF-F704-47F0-BA80-511C14C8E6A0}" name="Azure_Stories" displayName="Azure_Stories" ref="A1:J75" totalsRowShown="0" headerRowDxfId="26" dataDxfId="25">
  <autoFilter ref="A1:J75" xr:uid="{9926C5DF-F704-47F0-BA80-511C14C8E6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9" xr3:uid="{77C4DBE8-094E-4804-8D70-BBF22115177F}" name="SL NO" dataDxfId="20"/>
    <tableColumn id="1" xr3:uid="{56C8A7EF-507C-4FFE-8D6D-5EA519BFFA82}" name="Number" dataDxfId="19"/>
    <tableColumn id="6" xr3:uid="{AB25E6EE-6675-4E04-94B2-9F8E75CD7489}" name="AzureID" dataDxfId="18"/>
    <tableColumn id="4" xr3:uid="{645DA4BB-B29D-4B7A-AA17-94579B43B0D4}" name="Vendor ticket" dataDxfId="17"/>
    <tableColumn id="7" xr3:uid="{5ED282CA-6FC2-47B3-BFA4-505329D299E1}" name="Short description" dataDxfId="16"/>
    <tableColumn id="3" xr3:uid="{98EBF6A9-8059-46F5-A3BB-82A536C0EA0F}" name="Created" dataDxfId="15"/>
    <tableColumn id="5" xr3:uid="{4B3F429F-CE71-4344-97E8-38546037C0FD}" name="Incident state" dataDxfId="14"/>
    <tableColumn id="2" xr3:uid="{9234F276-AD3D-446F-B4B8-2A57A0D38076}" name="Assigned to" dataDxfId="13"/>
    <tableColumn id="12" xr3:uid="{4602C6B5-13E6-4354-B3C0-31F94E60E8DB}" name="Opened by" dataDxfId="12"/>
    <tableColumn id="13" xr3:uid="{5A8693AA-B9F0-48E3-AFCA-B976409B8D2F}" name="Caller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7D0CE6-795C-4302-8DCF-39F02DF3C73E}" name="tblServers" displayName="tblServers" ref="A1:A7" totalsRowShown="0" headerRowDxfId="24" dataDxfId="23" tableBorderDxfId="22">
  <autoFilter ref="A1:A7" xr:uid="{D77D0CE6-795C-4302-8DCF-39F02DF3C73E}"/>
  <tableColumns count="1">
    <tableColumn id="1" xr3:uid="{7BD1C5E3-C7CB-451A-AE88-BA6272770513}" name="ServerName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103EC-2B35-454F-B993-2B306BB35675}" name="Support_Mail" displayName="Support_Mail" ref="A1:H744" tableType="queryTable" totalsRowShown="0">
  <autoFilter ref="A1:H744" xr:uid="{F2B103EC-2B35-454F-B993-2B306BB35675}"/>
  <tableColumns count="8">
    <tableColumn id="1" xr3:uid="{51832A99-38CF-4D57-9910-55E47AD9A5C6}" uniqueName="1" name="Subject" queryTableFieldId="1" dataDxfId="5"/>
    <tableColumn id="2" xr3:uid="{59874F7D-A7CC-4E4B-822D-53AD81A79AFA}" uniqueName="2" name="Name" queryTableFieldId="2" dataDxfId="4"/>
    <tableColumn id="3" xr3:uid="{093C050D-3484-43DA-BF41-5D09CC423FC7}" uniqueName="3" name="Address" queryTableFieldId="3" dataDxfId="3"/>
    <tableColumn id="4" xr3:uid="{DD82E8E6-5D18-42E3-BC22-7E56CF793B64}" uniqueName="4" name="DateTimeReceived" queryTableFieldId="4" dataDxfId="2"/>
    <tableColumn id="5" xr3:uid="{D5C3460A-1C71-4BCA-9BA7-B5FF9D9F1E7F}" uniqueName="5" name="Importance" queryTableFieldId="5" dataDxfId="1"/>
    <tableColumn id="6" xr3:uid="{64160D59-07BD-43AF-B878-7A06C2A5A061}" uniqueName="6" name="IsRead" queryTableFieldId="6"/>
    <tableColumn id="7" xr3:uid="{3897B5A2-1BE5-4CF8-B3C6-A67B14B59271}" uniqueName="7" name="Categories" queryTableFieldId="7" dataDxfId="0"/>
    <tableColumn id="8" xr3:uid="{38496E8E-6FC3-4D98-895A-5F8E7CB6BA73}" uniqueName="8" name="HasAttachments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DB91BB-310C-4E69-9E67-D1A0295AA56B}" name="Integraton_Failure" displayName="Integraton_Failure" ref="A1:E47" tableType="queryTable" totalsRowShown="0">
  <autoFilter ref="A1:E47" xr:uid="{37DB91BB-310C-4E69-9E67-D1A0295AA56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B7F9A59-7C0A-479A-8489-EE0223B395C4}" uniqueName="1" name="Subject" queryTableFieldId="1" dataDxfId="10"/>
    <tableColumn id="6" xr3:uid="{143E9CB6-1A10-44B3-A79A-61E793B0E4FF}" uniqueName="6" name="Failure Time" queryTableFieldId="6" dataDxfId="9"/>
    <tableColumn id="4" xr3:uid="{05317E6D-2223-454F-BF4B-5D733E177813}" uniqueName="4" name="Object Number" queryTableFieldId="4" dataDxfId="8"/>
    <tableColumn id="7" xr3:uid="{1ADEC289-2381-4543-BACE-3AE0DF382A76}" uniqueName="7" name="Error Message" queryTableFieldId="7" dataDxfId="7"/>
    <tableColumn id="3" xr3:uid="{F044082C-871B-42EE-A224-B848C9D0E30B}" uniqueName="3" name="Windchill Server" queryTableFieldId="3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1952-D331-45B6-8F87-1FF80EA89C04}">
  <sheetPr codeName="Sheet1"/>
  <dimension ref="A1:M780"/>
  <sheetViews>
    <sheetView zoomScale="70" zoomScaleNormal="70" workbookViewId="0">
      <selection activeCell="H22" sqref="H22"/>
    </sheetView>
  </sheetViews>
  <sheetFormatPr defaultColWidth="8.81640625" defaultRowHeight="14.5" x14ac:dyDescent="0.35"/>
  <cols>
    <col min="1" max="1" width="6.1796875" style="19" bestFit="1" customWidth="1"/>
    <col min="2" max="2" width="16.81640625" style="19" bestFit="1" customWidth="1"/>
    <col min="3" max="3" width="11.81640625" style="22" bestFit="1" customWidth="1"/>
    <col min="4" max="4" width="60.81640625" style="23" customWidth="1"/>
    <col min="5" max="5" width="32.81640625" style="22" bestFit="1" customWidth="1"/>
    <col min="6" max="6" width="40.81640625" style="19" bestFit="1" customWidth="1"/>
    <col min="7" max="7" width="13" style="19" bestFit="1" customWidth="1"/>
    <col min="8" max="8" width="9.1796875" style="19" bestFit="1" customWidth="1"/>
    <col min="9" max="9" width="1.81640625" style="19" customWidth="1"/>
    <col min="10" max="10" width="6.1796875" style="19" bestFit="1" customWidth="1"/>
    <col min="11" max="11" width="22.1796875" style="19" bestFit="1" customWidth="1"/>
    <col min="12" max="12" width="6.1796875" style="19" bestFit="1" customWidth="1"/>
    <col min="13" max="13" width="12.7265625" style="19" bestFit="1" customWidth="1"/>
    <col min="14" max="16384" width="8.81640625" style="19"/>
  </cols>
  <sheetData>
    <row r="1" spans="1:13" s="9" customFormat="1" ht="18.5" x14ac:dyDescent="0.35">
      <c r="A1" s="31" t="s">
        <v>0</v>
      </c>
      <c r="B1" s="32"/>
      <c r="C1" s="32"/>
      <c r="D1" s="32"/>
      <c r="E1" s="32"/>
      <c r="F1" s="32"/>
      <c r="G1" s="32"/>
      <c r="H1" s="33"/>
      <c r="J1" s="30" t="s">
        <v>1</v>
      </c>
      <c r="K1" s="30"/>
      <c r="L1" s="30"/>
      <c r="M1" s="10">
        <f ca="1">TODAY()</f>
        <v>46174</v>
      </c>
    </row>
    <row r="2" spans="1:13" s="13" customFormat="1" x14ac:dyDescent="0.35">
      <c r="A2" s="11" t="s">
        <v>2</v>
      </c>
      <c r="B2" s="11" t="e" cm="1">
        <f t="array" ref="B2">_xlfn._xlws.SORT(
_xlfn._xlws.FILTER(
CHOOSE({1,2,3,4,5,6,7},#REF!,#REF!,#REF!,#REF!,
IF(#REF!=
0,"",#REF!),#REF!,#REF!),#REF!&lt;&gt;
""),2,-1)</f>
        <v>#REF!</v>
      </c>
      <c r="C2" s="12"/>
      <c r="D2" s="12"/>
      <c r="E2" s="12"/>
      <c r="F2" s="11"/>
      <c r="G2" s="11"/>
      <c r="H2" s="11"/>
      <c r="J2" s="11" t="s">
        <v>2</v>
      </c>
      <c r="K2" s="14" t="s">
        <v>3</v>
      </c>
      <c r="L2" s="15" t="s">
        <v>4</v>
      </c>
      <c r="M2" s="15" t="s">
        <v>5</v>
      </c>
    </row>
    <row r="3" spans="1:13" x14ac:dyDescent="0.35">
      <c r="A3" s="16" t="str">
        <f>IF(B3="","",_xlfn.AGGREGATE(3,5,$B$3:B3))</f>
        <v/>
      </c>
      <c r="B3" s="16"/>
      <c r="C3" s="17"/>
      <c r="D3" s="18"/>
      <c r="E3" s="17"/>
      <c r="F3" s="16"/>
      <c r="G3" s="16"/>
      <c r="H3" s="16"/>
      <c r="J3" s="16">
        <f>IF(K2="","",_xlfn.AGGREGATE(3,5,$K$2:K2))</f>
        <v>1</v>
      </c>
      <c r="K3" s="20" t="s">
        <v>6</v>
      </c>
      <c r="L3" s="21" t="e">
        <f>#REF!</f>
        <v>#REF!</v>
      </c>
      <c r="M3" s="3" t="e">
        <f>IF(L3=0,"🟢 OK",IF(L3&lt;5,"🟡 Monitor","🔴 High"))</f>
        <v>#REF!</v>
      </c>
    </row>
    <row r="4" spans="1:13" x14ac:dyDescent="0.35">
      <c r="A4" s="16" t="str">
        <f>IF(B4="","",_xlfn.AGGREGATE(3,5,$B$3:B4))</f>
        <v/>
      </c>
      <c r="B4" s="16"/>
      <c r="C4" s="17"/>
      <c r="D4" s="18"/>
      <c r="E4" s="17"/>
      <c r="F4" s="16"/>
      <c r="G4" s="16"/>
      <c r="H4" s="16"/>
      <c r="J4" s="16">
        <f>IF(K3="","",_xlfn.AGGREGATE(3,5,$K$2:K3))</f>
        <v>2</v>
      </c>
      <c r="K4" s="20" t="s">
        <v>7</v>
      </c>
      <c r="L4" s="21" t="e">
        <f>#REF!</f>
        <v>#REF!</v>
      </c>
      <c r="M4" s="3" t="e">
        <f t="shared" ref="M4:M8" si="0">IF(L4=0,"🟢 OK",IF(L4&lt;5,"🟡 Monitor","🔴 High"))</f>
        <v>#REF!</v>
      </c>
    </row>
    <row r="5" spans="1:13" x14ac:dyDescent="0.35">
      <c r="A5" s="16" t="str">
        <f>IF(B5="","",_xlfn.AGGREGATE(3,5,$B$3:B5))</f>
        <v/>
      </c>
      <c r="B5" s="16"/>
      <c r="C5" s="17"/>
      <c r="D5" s="18"/>
      <c r="E5" s="17"/>
      <c r="F5" s="16"/>
      <c r="G5" s="16"/>
      <c r="H5" s="16"/>
      <c r="J5" s="16">
        <f>IF(K4="","",_xlfn.AGGREGATE(3,5,$K$2:K4))</f>
        <v>3</v>
      </c>
      <c r="K5" s="20" t="s">
        <v>8</v>
      </c>
      <c r="L5" s="21" t="e">
        <f>#REF!</f>
        <v>#REF!</v>
      </c>
      <c r="M5" s="3" t="e">
        <f t="shared" si="0"/>
        <v>#REF!</v>
      </c>
    </row>
    <row r="6" spans="1:13" x14ac:dyDescent="0.35">
      <c r="A6" s="16" t="str">
        <f>IF(B6="","",_xlfn.AGGREGATE(3,5,$B$3:B6))</f>
        <v/>
      </c>
      <c r="B6" s="16"/>
      <c r="C6" s="17"/>
      <c r="D6" s="18"/>
      <c r="E6" s="17"/>
      <c r="F6" s="16"/>
      <c r="G6" s="16"/>
      <c r="H6" s="16"/>
      <c r="J6" s="16">
        <f>IF(K5="","",_xlfn.AGGREGATE(3,5,$K$2:K5))</f>
        <v>4</v>
      </c>
      <c r="K6" s="20" t="s">
        <v>9</v>
      </c>
      <c r="L6" s="21" t="e">
        <f>#REF!</f>
        <v>#REF!</v>
      </c>
      <c r="M6" s="3" t="e">
        <f t="shared" si="0"/>
        <v>#REF!</v>
      </c>
    </row>
    <row r="7" spans="1:13" x14ac:dyDescent="0.35">
      <c r="A7" s="16" t="str">
        <f>IF(B7="","",_xlfn.AGGREGATE(3,5,$B$3:B7))</f>
        <v/>
      </c>
      <c r="B7" s="16"/>
      <c r="C7" s="17"/>
      <c r="D7" s="18"/>
      <c r="E7" s="17"/>
      <c r="F7" s="16"/>
      <c r="G7" s="16"/>
      <c r="H7" s="16"/>
      <c r="J7" s="16">
        <f>IF(K6="","",_xlfn.AGGREGATE(3,5,$K$2:K6))</f>
        <v>5</v>
      </c>
      <c r="K7" s="20" t="s">
        <v>10</v>
      </c>
      <c r="L7" s="21" t="e">
        <f>#REF!</f>
        <v>#REF!</v>
      </c>
      <c r="M7" s="3" t="e">
        <f t="shared" si="0"/>
        <v>#REF!</v>
      </c>
    </row>
    <row r="8" spans="1:13" x14ac:dyDescent="0.35">
      <c r="A8" s="16" t="str">
        <f>IF(B8="","",_xlfn.AGGREGATE(3,5,$B$3:B8))</f>
        <v/>
      </c>
      <c r="B8" s="16"/>
      <c r="C8" s="17"/>
      <c r="D8" s="18"/>
      <c r="E8" s="17"/>
      <c r="F8" s="16"/>
      <c r="G8" s="16"/>
      <c r="H8" s="16"/>
      <c r="J8" s="16">
        <f>IF(K7="","",_xlfn.AGGREGATE(3,5,$K$2:K7))</f>
        <v>6</v>
      </c>
      <c r="K8" s="20" t="s">
        <v>11</v>
      </c>
      <c r="L8" s="21" t="e">
        <f>#REF!</f>
        <v>#REF!</v>
      </c>
      <c r="M8" s="3" t="e">
        <f t="shared" si="0"/>
        <v>#REF!</v>
      </c>
    </row>
    <row r="9" spans="1:13" x14ac:dyDescent="0.35">
      <c r="A9" s="16" t="str">
        <f>IF(B9="","",_xlfn.AGGREGATE(3,5,$B$3:B9))</f>
        <v/>
      </c>
      <c r="B9" s="16"/>
      <c r="C9" s="17"/>
      <c r="D9" s="18"/>
      <c r="E9" s="17"/>
      <c r="F9" s="16"/>
      <c r="G9" s="16"/>
      <c r="H9" s="16"/>
    </row>
    <row r="10" spans="1:13" x14ac:dyDescent="0.35">
      <c r="A10" s="16" t="str">
        <f>IF(B10="","",_xlfn.AGGREGATE(3,5,$B$3:B10))</f>
        <v/>
      </c>
      <c r="B10" s="16"/>
      <c r="C10" s="17"/>
      <c r="D10" s="18"/>
      <c r="E10" s="17"/>
      <c r="F10" s="16"/>
      <c r="G10" s="16"/>
      <c r="H10" s="16"/>
    </row>
    <row r="11" spans="1:13" x14ac:dyDescent="0.35">
      <c r="A11" s="16" t="str">
        <f>IF(B11="","",_xlfn.AGGREGATE(3,5,$B$3:B11))</f>
        <v/>
      </c>
      <c r="B11" s="16"/>
      <c r="C11" s="17"/>
      <c r="D11" s="18"/>
      <c r="E11" s="17"/>
      <c r="F11" s="16"/>
      <c r="G11" s="16"/>
      <c r="H11" s="16"/>
    </row>
    <row r="12" spans="1:13" x14ac:dyDescent="0.35">
      <c r="A12" s="16" t="str">
        <f>IF(B12="","",_xlfn.AGGREGATE(3,5,$B$3:B12))</f>
        <v/>
      </c>
      <c r="B12" s="16"/>
      <c r="C12" s="17"/>
      <c r="D12" s="18"/>
      <c r="E12" s="17"/>
      <c r="F12" s="16"/>
      <c r="G12" s="16"/>
      <c r="H12" s="16"/>
    </row>
    <row r="13" spans="1:13" x14ac:dyDescent="0.35">
      <c r="G13" s="24"/>
    </row>
    <row r="14" spans="1:13" s="26" customFormat="1" ht="18.5" x14ac:dyDescent="0.45">
      <c r="A14" s="30" t="s">
        <v>12</v>
      </c>
      <c r="B14" s="30"/>
      <c r="C14" s="30"/>
      <c r="D14" s="30"/>
      <c r="E14" s="30"/>
      <c r="F14" s="30"/>
      <c r="G14" s="25"/>
    </row>
    <row r="15" spans="1:13" x14ac:dyDescent="0.35">
      <c r="A15" s="11" t="s">
        <v>2</v>
      </c>
      <c r="B15" s="11" t="s">
        <v>13</v>
      </c>
      <c r="C15" s="12" t="s">
        <v>14</v>
      </c>
      <c r="D15" s="12" t="s">
        <v>15</v>
      </c>
      <c r="E15" s="12" t="s">
        <v>16</v>
      </c>
      <c r="F15" s="11" t="s">
        <v>5</v>
      </c>
    </row>
    <row r="16" spans="1:13" x14ac:dyDescent="0.35">
      <c r="A16" s="16" t="e">
        <f>IF(B16="","",_xlfn.AGGREGATE(3,5,$B$16:B16))</f>
        <v>#REF!</v>
      </c>
      <c r="B16" s="27" t="e" cm="1">
        <f t="array" ref="B16">_xlfn._xlws.SORT(
    _xlfn._xlws.FILTER(
        _xlfn.CHOOSECOLS(#REF!,10,4,1,2,7),
        (#REF!="Action Required") +
        (#REF!="Awaiting Vendor")
    ),
4,-1)</f>
        <v>#REF!</v>
      </c>
      <c r="C16" s="17"/>
      <c r="D16" s="18"/>
      <c r="E16" s="27"/>
      <c r="F16" s="16"/>
    </row>
    <row r="17" spans="1:6" x14ac:dyDescent="0.35">
      <c r="A17" s="16" t="str">
        <f>IF(B17="","",_xlfn.AGGREGATE(3,5,$B$16:B17))</f>
        <v/>
      </c>
      <c r="B17" s="27"/>
      <c r="C17" s="17"/>
      <c r="D17" s="18"/>
      <c r="E17" s="27"/>
      <c r="F17" s="16"/>
    </row>
    <row r="18" spans="1:6" x14ac:dyDescent="0.35">
      <c r="A18" s="16" t="str">
        <f>IF(B18="","",_xlfn.AGGREGATE(3,5,$B$16:B18))</f>
        <v/>
      </c>
      <c r="B18" s="27"/>
      <c r="C18" s="17"/>
      <c r="D18" s="18"/>
      <c r="E18" s="27"/>
      <c r="F18" s="16"/>
    </row>
    <row r="19" spans="1:6" x14ac:dyDescent="0.35">
      <c r="A19" s="16" t="str">
        <f>IF(B19="","",_xlfn.AGGREGATE(3,5,$B$16:B19))</f>
        <v/>
      </c>
      <c r="B19" s="27"/>
      <c r="C19" s="17"/>
      <c r="E19" s="27"/>
      <c r="F19" s="16"/>
    </row>
    <row r="20" spans="1:6" x14ac:dyDescent="0.35">
      <c r="A20" s="16" t="str">
        <f>IF(B20="","",_xlfn.AGGREGATE(3,5,$B$16:B20))</f>
        <v/>
      </c>
      <c r="B20" s="27"/>
      <c r="C20" s="17"/>
      <c r="D20" s="18"/>
      <c r="E20" s="27"/>
      <c r="F20" s="16"/>
    </row>
    <row r="21" spans="1:6" x14ac:dyDescent="0.35">
      <c r="A21" s="16" t="str">
        <f>IF(B21="","",_xlfn.AGGREGATE(3,5,$B$16:B21))</f>
        <v/>
      </c>
      <c r="B21" s="27"/>
      <c r="C21" s="17"/>
      <c r="D21" s="18"/>
      <c r="E21" s="27"/>
      <c r="F21" s="16"/>
    </row>
    <row r="22" spans="1:6" x14ac:dyDescent="0.35">
      <c r="A22" s="16" t="str">
        <f>IF(B22="","",_xlfn.AGGREGATE(3,5,$B$16:B22))</f>
        <v/>
      </c>
      <c r="B22" s="27"/>
      <c r="C22" s="17"/>
      <c r="D22" s="18"/>
      <c r="E22" s="17"/>
      <c r="F22" s="16"/>
    </row>
    <row r="23" spans="1:6" x14ac:dyDescent="0.35">
      <c r="A23" s="16" t="str">
        <f>IF(B23="","",_xlfn.AGGREGATE(3,5,$B$16:B23))</f>
        <v/>
      </c>
      <c r="B23" s="27"/>
      <c r="C23" s="17"/>
      <c r="D23" s="18"/>
      <c r="E23" s="17"/>
      <c r="F23" s="16"/>
    </row>
    <row r="24" spans="1:6" x14ac:dyDescent="0.35">
      <c r="A24" s="16" t="str">
        <f>IF(B24="","",_xlfn.AGGREGATE(3,5,$B$16:B24))</f>
        <v/>
      </c>
      <c r="B24" s="27"/>
      <c r="C24" s="17"/>
      <c r="D24" s="18"/>
      <c r="E24" s="17"/>
      <c r="F24" s="16"/>
    </row>
    <row r="26" spans="1:6" s="26" customFormat="1" ht="18.5" x14ac:dyDescent="0.35">
      <c r="A26" s="30" t="s">
        <v>17</v>
      </c>
      <c r="B26" s="30"/>
      <c r="C26" s="30"/>
      <c r="D26" s="30"/>
      <c r="E26" s="30"/>
      <c r="F26" s="30"/>
    </row>
    <row r="27" spans="1:6" x14ac:dyDescent="0.35">
      <c r="A27" s="11" t="s">
        <v>18</v>
      </c>
      <c r="B27" s="12" t="s">
        <v>19</v>
      </c>
      <c r="C27" s="12" t="s">
        <v>20</v>
      </c>
      <c r="D27" s="12" t="s">
        <v>21</v>
      </c>
      <c r="E27" s="11" t="s">
        <v>22</v>
      </c>
      <c r="F27" s="11" t="s">
        <v>23</v>
      </c>
    </row>
    <row r="28" spans="1:6" x14ac:dyDescent="0.35">
      <c r="A28" s="16">
        <f ca="1">IF(B28="","",_xlfn.AGGREGATE(3,5,$B$28:B28))</f>
        <v>1</v>
      </c>
      <c r="B28" s="16" t="str" cm="1">
        <f t="array" aca="1" ref="B28:F33" ca="1">_xlfn._xlws.SORT(
_xlfn._xlws.FILTER(
CHOOSE({1,2,3,4,5},
Integration_Failure!A2:A4981,
Integration_Failure!B2:B4981,
Integration_Failure!D2:D4981,
Integration_Failure!C2:C4981,
Integration_Failure!E2:E4981),
(Integration_Failure!B2:B4981&gt;=TODAY()-7)*
(Integration_Failure!B2:B4981&lt;TODAY()+1),
""),
2,-1)</f>
        <v>POTS</v>
      </c>
      <c r="C28" s="17">
        <f ca="1"/>
        <v>46172.308020833334</v>
      </c>
      <c r="D28" s="18" t="str">
        <f ca="1"/>
        <v>null</v>
      </c>
      <c r="E28" s="27" t="str">
        <f ca="1"/>
        <v>Export to Pots</v>
      </c>
      <c r="F28" s="16" t="str">
        <f ca="1"/>
        <v>segotl3789.got.volvo.net</v>
      </c>
    </row>
    <row r="29" spans="1:6" x14ac:dyDescent="0.35">
      <c r="A29" s="16">
        <f ca="1">IF(B29="","",_xlfn.AGGREGATE(3,5,$B$28:B29))</f>
        <v>2</v>
      </c>
      <c r="B29" s="16" t="str">
        <f ca="1"/>
        <v>RAPID</v>
      </c>
      <c r="C29" s="17">
        <f ca="1"/>
        <v>46171.84988425926</v>
      </c>
      <c r="D29" s="18" t="str">
        <f ca="1"/>
        <v>Failed to send POST request</v>
      </c>
      <c r="E29" s="17" t="str">
        <f ca="1"/>
        <v>wt.doc.WTDocument:20210924763</v>
      </c>
      <c r="F29" s="16" t="str">
        <f ca="1"/>
        <v>segotl3789.got.volvo.net</v>
      </c>
    </row>
    <row r="30" spans="1:6" x14ac:dyDescent="0.35">
      <c r="A30" s="16">
        <f ca="1">IF(B30="","",_xlfn.AGGREGATE(3,5,$B$28:B30))</f>
        <v>3</v>
      </c>
      <c r="B30" s="16" t="str">
        <f ca="1"/>
        <v>POTS</v>
      </c>
      <c r="C30" s="17">
        <f ca="1"/>
        <v>46171.307638888888</v>
      </c>
      <c r="D30" s="18" t="str">
        <f ca="1"/>
        <v>null</v>
      </c>
      <c r="E30" s="17" t="str">
        <f ca="1"/>
        <v>Export to Pots</v>
      </c>
      <c r="F30" s="16" t="str">
        <f ca="1"/>
        <v>segotl3789.got.volvo.net</v>
      </c>
    </row>
    <row r="31" spans="1:6" x14ac:dyDescent="0.35">
      <c r="A31" s="16">
        <f ca="1">IF(B31="","",_xlfn.AGGREGATE(3,5,$B$28:B31))</f>
        <v>4</v>
      </c>
      <c r="B31" s="16" t="str">
        <f ca="1"/>
        <v>POTS</v>
      </c>
      <c r="C31" s="17">
        <f ca="1"/>
        <v>46170.309444444443</v>
      </c>
      <c r="D31" s="18" t="str">
        <f ca="1"/>
        <v>null</v>
      </c>
      <c r="E31" s="17" t="str">
        <f ca="1"/>
        <v>Export to Pots</v>
      </c>
      <c r="F31" s="16" t="str">
        <f ca="1"/>
        <v>segotl3789.got.volvo.net</v>
      </c>
    </row>
    <row r="32" spans="1:6" x14ac:dyDescent="0.35">
      <c r="A32" s="16">
        <f ca="1">IF(B32="","",_xlfn.AGGREGATE(3,5,$B$28:B32))</f>
        <v>5</v>
      </c>
      <c r="B32" s="16" t="str">
        <f ca="1"/>
        <v>POTS</v>
      </c>
      <c r="C32" s="17">
        <f ca="1"/>
        <v>46169.31013888889</v>
      </c>
      <c r="D32" s="18" t="str">
        <f ca="1"/>
        <v>null</v>
      </c>
      <c r="E32" s="27" t="str">
        <f ca="1"/>
        <v>Export to Pots</v>
      </c>
      <c r="F32" s="16" t="str">
        <f ca="1"/>
        <v>segotl3789.got.volvo.net</v>
      </c>
    </row>
    <row r="33" spans="1:6" x14ac:dyDescent="0.35">
      <c r="A33" s="16">
        <f ca="1">IF(B33="","",_xlfn.AGGREGATE(3,5,$B$28:B33))</f>
        <v>6</v>
      </c>
      <c r="B33" s="16" t="str">
        <f ca="1"/>
        <v>POTS</v>
      </c>
      <c r="C33" s="17">
        <f ca="1"/>
        <v>46168.309189814812</v>
      </c>
      <c r="D33" s="18" t="str">
        <f ca="1"/>
        <v>null</v>
      </c>
      <c r="E33" s="27" t="str">
        <f ca="1"/>
        <v>Export to Pots</v>
      </c>
      <c r="F33" s="16" t="str">
        <f ca="1"/>
        <v>segotl3789.got.volvo.net</v>
      </c>
    </row>
    <row r="34" spans="1:6" x14ac:dyDescent="0.35">
      <c r="A34" s="16" t="str">
        <f>IF(B34="","",_xlfn.AGGREGATE(3,5,$B$28:B34))</f>
        <v/>
      </c>
      <c r="B34" s="16"/>
      <c r="C34" s="17"/>
      <c r="D34" s="18"/>
      <c r="E34" s="27"/>
      <c r="F34" s="16"/>
    </row>
    <row r="35" spans="1:6" x14ac:dyDescent="0.35">
      <c r="A35" s="16" t="str">
        <f>IF(B35="","",_xlfn.AGGREGATE(3,5,$B$28:B35))</f>
        <v/>
      </c>
      <c r="B35" s="16"/>
      <c r="C35" s="17"/>
      <c r="D35" s="18"/>
      <c r="E35" s="27"/>
      <c r="F35" s="16"/>
    </row>
    <row r="36" spans="1:6" x14ac:dyDescent="0.35">
      <c r="A36" s="16" t="str">
        <f>IF(B36="","",_xlfn.AGGREGATE(3,5,$B$28:B36))</f>
        <v/>
      </c>
      <c r="B36" s="16"/>
      <c r="C36" s="17"/>
      <c r="D36" s="18"/>
      <c r="E36" s="27"/>
      <c r="F36" s="16"/>
    </row>
    <row r="37" spans="1:6" x14ac:dyDescent="0.35">
      <c r="A37" s="16" t="str">
        <f>IF(B37="","",_xlfn.AGGREGATE(3,5,$B$28:B37))</f>
        <v/>
      </c>
      <c r="B37" s="16"/>
      <c r="C37" s="17"/>
      <c r="D37" s="18"/>
      <c r="E37" s="27"/>
      <c r="F37" s="16"/>
    </row>
    <row r="38" spans="1:6" x14ac:dyDescent="0.35">
      <c r="A38" s="16" t="str">
        <f>IF(B38="","",_xlfn.AGGREGATE(3,5,$B$28:B38))</f>
        <v/>
      </c>
      <c r="B38" s="16"/>
      <c r="C38" s="17"/>
      <c r="D38" s="18"/>
      <c r="E38" s="27"/>
      <c r="F38" s="16"/>
    </row>
    <row r="39" spans="1:6" x14ac:dyDescent="0.35">
      <c r="A39" s="16" t="str">
        <f>IF(B39="","",_xlfn.AGGREGATE(3,5,$B$28:B39))</f>
        <v/>
      </c>
      <c r="B39" s="16"/>
      <c r="C39" s="17"/>
      <c r="D39" s="18"/>
      <c r="E39" s="27"/>
      <c r="F39" s="16"/>
    </row>
    <row r="40" spans="1:6" x14ac:dyDescent="0.35">
      <c r="A40" s="16" t="str">
        <f>IF(B40="","",_xlfn.AGGREGATE(3,5,$B$28:B40))</f>
        <v/>
      </c>
      <c r="B40" s="16"/>
      <c r="C40" s="17"/>
      <c r="D40" s="18"/>
      <c r="E40" s="27"/>
      <c r="F40" s="16"/>
    </row>
    <row r="41" spans="1:6" x14ac:dyDescent="0.35">
      <c r="A41" s="16" t="str">
        <f>IF(B41="","",_xlfn.AGGREGATE(3,5,$B$28:B41))</f>
        <v/>
      </c>
      <c r="B41" s="16"/>
      <c r="C41" s="17"/>
      <c r="D41" s="18"/>
      <c r="E41" s="27"/>
      <c r="F41" s="16"/>
    </row>
    <row r="42" spans="1:6" x14ac:dyDescent="0.35">
      <c r="A42" s="16" t="str">
        <f>IF(B42="","",_xlfn.AGGREGATE(3,5,$B$28:B42))</f>
        <v/>
      </c>
      <c r="B42" s="16"/>
      <c r="C42" s="17"/>
      <c r="D42" s="18"/>
      <c r="E42" s="27"/>
      <c r="F42" s="16"/>
    </row>
    <row r="43" spans="1:6" x14ac:dyDescent="0.35">
      <c r="A43" s="16" t="str">
        <f>IF(B43="","",_xlfn.AGGREGATE(3,5,$B$28:B43))</f>
        <v/>
      </c>
      <c r="B43" s="16"/>
      <c r="C43" s="17"/>
      <c r="D43" s="18"/>
      <c r="E43" s="27"/>
      <c r="F43" s="16"/>
    </row>
    <row r="44" spans="1:6" x14ac:dyDescent="0.35">
      <c r="A44" s="16" t="str">
        <f>IF(B44="","",_xlfn.AGGREGATE(3,5,$B$28:B44))</f>
        <v/>
      </c>
      <c r="B44" s="16"/>
      <c r="C44" s="17"/>
      <c r="D44" s="18"/>
      <c r="E44" s="27"/>
      <c r="F44" s="16"/>
    </row>
    <row r="45" spans="1:6" x14ac:dyDescent="0.35">
      <c r="A45" s="16" t="str">
        <f>IF(B45="","",_xlfn.AGGREGATE(3,5,$B$28:B45))</f>
        <v/>
      </c>
      <c r="B45" s="16"/>
      <c r="C45" s="17"/>
      <c r="D45" s="18"/>
      <c r="E45" s="27"/>
      <c r="F45" s="16"/>
    </row>
    <row r="46" spans="1:6" x14ac:dyDescent="0.35">
      <c r="A46" s="16" t="str">
        <f>IF(B46="","",_xlfn.AGGREGATE(3,5,$B$28:B46))</f>
        <v/>
      </c>
      <c r="B46" s="16"/>
      <c r="C46" s="17"/>
      <c r="D46" s="18"/>
      <c r="E46" s="27"/>
      <c r="F46" s="16"/>
    </row>
    <row r="47" spans="1:6" x14ac:dyDescent="0.35">
      <c r="A47" s="16" t="str">
        <f>IF(B47="","",_xlfn.AGGREGATE(3,5,$B$28:B47))</f>
        <v/>
      </c>
      <c r="B47" s="16"/>
      <c r="C47" s="17"/>
      <c r="D47" s="18"/>
      <c r="E47" s="27"/>
      <c r="F47" s="16"/>
    </row>
    <row r="48" spans="1:6" x14ac:dyDescent="0.35">
      <c r="A48" s="16" t="str">
        <f>IF(B48="","",_xlfn.AGGREGATE(3,5,$B$28:B48))</f>
        <v/>
      </c>
      <c r="B48" s="16"/>
      <c r="C48" s="17"/>
      <c r="D48" s="18"/>
      <c r="E48" s="27"/>
      <c r="F48" s="16"/>
    </row>
    <row r="49" spans="1:6" x14ac:dyDescent="0.35">
      <c r="A49" s="16" t="str">
        <f>IF(B49="","",_xlfn.AGGREGATE(3,5,$B$28:B49))</f>
        <v/>
      </c>
      <c r="B49" s="16"/>
      <c r="C49" s="17"/>
      <c r="D49" s="18"/>
      <c r="E49" s="27"/>
      <c r="F49" s="16"/>
    </row>
    <row r="50" spans="1:6" x14ac:dyDescent="0.35">
      <c r="A50" s="16" t="str">
        <f>IF(B50="","",_xlfn.AGGREGATE(3,5,$B$28:B50))</f>
        <v/>
      </c>
      <c r="B50" s="16"/>
      <c r="C50" s="17"/>
      <c r="D50" s="18"/>
      <c r="E50" s="27"/>
      <c r="F50" s="16"/>
    </row>
    <row r="51" spans="1:6" x14ac:dyDescent="0.35">
      <c r="A51" s="16" t="str">
        <f>IF(B51="","",_xlfn.AGGREGATE(3,5,$B$28:B51))</f>
        <v/>
      </c>
      <c r="B51" s="16"/>
      <c r="C51" s="17"/>
      <c r="D51" s="18"/>
      <c r="E51" s="27"/>
      <c r="F51" s="16"/>
    </row>
    <row r="52" spans="1:6" x14ac:dyDescent="0.35">
      <c r="A52" s="16" t="str">
        <f>IF(B52="","",_xlfn.AGGREGATE(3,5,$B$28:B52))</f>
        <v/>
      </c>
      <c r="B52" s="16"/>
      <c r="C52" s="17"/>
      <c r="D52" s="18"/>
      <c r="E52" s="27"/>
      <c r="F52" s="16"/>
    </row>
    <row r="53" spans="1:6" x14ac:dyDescent="0.35">
      <c r="A53" s="16" t="str">
        <f>IF(B53="","",_xlfn.AGGREGATE(3,5,$B$28:B53))</f>
        <v/>
      </c>
      <c r="B53" s="16"/>
      <c r="C53" s="17"/>
      <c r="D53" s="18"/>
      <c r="E53" s="27"/>
      <c r="F53" s="16"/>
    </row>
    <row r="54" spans="1:6" x14ac:dyDescent="0.35">
      <c r="A54" s="16" t="str">
        <f>IF(B54="","",_xlfn.AGGREGATE(3,5,$B$28:B54))</f>
        <v/>
      </c>
      <c r="B54" s="16"/>
      <c r="C54" s="17"/>
      <c r="D54" s="18"/>
      <c r="E54" s="27"/>
      <c r="F54" s="16"/>
    </row>
    <row r="55" spans="1:6" x14ac:dyDescent="0.35">
      <c r="A55" s="16" t="str">
        <f>IF(B55="","",_xlfn.AGGREGATE(3,5,$B$28:B55))</f>
        <v/>
      </c>
      <c r="B55" s="16"/>
      <c r="C55" s="17"/>
      <c r="D55" s="18"/>
      <c r="E55" s="27"/>
      <c r="F55" s="16"/>
    </row>
    <row r="56" spans="1:6" x14ac:dyDescent="0.35">
      <c r="A56" s="16" t="str">
        <f>IF(B56="","",_xlfn.AGGREGATE(3,5,$B$28:B56))</f>
        <v/>
      </c>
      <c r="B56" s="16"/>
      <c r="C56" s="17"/>
      <c r="D56" s="18"/>
      <c r="E56" s="27"/>
      <c r="F56" s="16"/>
    </row>
    <row r="57" spans="1:6" x14ac:dyDescent="0.35">
      <c r="A57" s="16" t="str">
        <f>IF(B57="","",_xlfn.AGGREGATE(3,5,$B$28:B57))</f>
        <v/>
      </c>
      <c r="B57" s="16"/>
      <c r="C57" s="17"/>
      <c r="D57" s="18"/>
      <c r="E57" s="27"/>
      <c r="F57" s="16"/>
    </row>
    <row r="58" spans="1:6" x14ac:dyDescent="0.35">
      <c r="A58" s="16" t="str">
        <f>IF(B58="","",_xlfn.AGGREGATE(3,5,$B$28:B58))</f>
        <v/>
      </c>
      <c r="B58" s="16"/>
      <c r="C58" s="17"/>
      <c r="D58" s="18"/>
      <c r="E58" s="27"/>
      <c r="F58" s="16"/>
    </row>
    <row r="59" spans="1:6" x14ac:dyDescent="0.35">
      <c r="A59" s="16" t="str">
        <f>IF(B59="","",_xlfn.AGGREGATE(3,5,$B$28:B59))</f>
        <v/>
      </c>
      <c r="B59" s="16"/>
      <c r="C59" s="17"/>
      <c r="D59" s="18"/>
      <c r="E59" s="27"/>
      <c r="F59" s="16"/>
    </row>
    <row r="60" spans="1:6" x14ac:dyDescent="0.35">
      <c r="A60" s="16" t="str">
        <f>IF(B60="","",_xlfn.AGGREGATE(3,5,$B$28:B60))</f>
        <v/>
      </c>
      <c r="B60" s="16"/>
      <c r="C60" s="17"/>
      <c r="D60" s="18"/>
      <c r="E60" s="27"/>
      <c r="F60" s="16"/>
    </row>
    <row r="61" spans="1:6" x14ac:dyDescent="0.35">
      <c r="A61" s="16" t="str">
        <f>IF(B61="","",_xlfn.AGGREGATE(3,5,$B$28:B61))</f>
        <v/>
      </c>
      <c r="B61" s="16"/>
      <c r="C61" s="17"/>
      <c r="D61" s="18"/>
      <c r="E61" s="27"/>
      <c r="F61" s="16"/>
    </row>
    <row r="62" spans="1:6" x14ac:dyDescent="0.35">
      <c r="A62" s="16" t="str">
        <f>IF(B62="","",_xlfn.AGGREGATE(3,5,$B$28:B62))</f>
        <v/>
      </c>
      <c r="B62" s="16"/>
      <c r="C62" s="17"/>
      <c r="D62" s="18"/>
      <c r="E62" s="27"/>
      <c r="F62" s="16"/>
    </row>
    <row r="63" spans="1:6" x14ac:dyDescent="0.35">
      <c r="A63" s="16" t="str">
        <f>IF(B63="","",_xlfn.AGGREGATE(3,5,$B$28:B63))</f>
        <v/>
      </c>
      <c r="B63" s="16"/>
      <c r="C63" s="17"/>
      <c r="D63" s="18"/>
      <c r="E63" s="27"/>
      <c r="F63" s="16"/>
    </row>
    <row r="64" spans="1:6" x14ac:dyDescent="0.35">
      <c r="A64" s="16" t="str">
        <f>IF(B64="","",_xlfn.AGGREGATE(3,5,$B$28:B64))</f>
        <v/>
      </c>
      <c r="B64" s="16"/>
      <c r="C64" s="17"/>
      <c r="D64" s="18"/>
      <c r="E64" s="27"/>
      <c r="F64" s="16"/>
    </row>
    <row r="65" spans="1:6" x14ac:dyDescent="0.35">
      <c r="A65" s="16" t="str">
        <f>IF(B65="","",_xlfn.AGGREGATE(3,5,$B$28:B65))</f>
        <v/>
      </c>
      <c r="B65" s="16"/>
      <c r="C65" s="17"/>
      <c r="D65" s="18"/>
      <c r="E65" s="27"/>
      <c r="F65" s="16"/>
    </row>
    <row r="66" spans="1:6" x14ac:dyDescent="0.35">
      <c r="A66" s="16" t="str">
        <f>IF(B66="","",_xlfn.AGGREGATE(3,5,$B$28:B66))</f>
        <v/>
      </c>
      <c r="B66" s="16"/>
      <c r="C66" s="17"/>
      <c r="D66" s="18"/>
      <c r="E66" s="27"/>
      <c r="F66" s="16"/>
    </row>
    <row r="67" spans="1:6" x14ac:dyDescent="0.35">
      <c r="A67" s="16" t="str">
        <f>IF(B67="","",_xlfn.AGGREGATE(3,5,$B$28:B67))</f>
        <v/>
      </c>
      <c r="B67" s="16"/>
      <c r="C67" s="17"/>
      <c r="D67" s="18"/>
      <c r="E67" s="27"/>
      <c r="F67" s="16"/>
    </row>
    <row r="68" spans="1:6" x14ac:dyDescent="0.35">
      <c r="A68" s="16" t="str">
        <f>IF(B68="","",_xlfn.AGGREGATE(3,5,$B$28:B68))</f>
        <v/>
      </c>
      <c r="B68" s="16"/>
      <c r="C68" s="17"/>
      <c r="D68" s="18"/>
      <c r="E68" s="27"/>
      <c r="F68" s="16"/>
    </row>
    <row r="69" spans="1:6" x14ac:dyDescent="0.35">
      <c r="A69" s="16" t="str">
        <f>IF(B69="","",_xlfn.AGGREGATE(3,5,$B$28:B69))</f>
        <v/>
      </c>
      <c r="B69" s="16"/>
      <c r="C69" s="17"/>
      <c r="D69" s="18"/>
      <c r="E69" s="27"/>
      <c r="F69" s="16"/>
    </row>
    <row r="70" spans="1:6" x14ac:dyDescent="0.35">
      <c r="A70" s="16" t="str">
        <f>IF(B70="","",_xlfn.AGGREGATE(3,5,$B$28:B70))</f>
        <v/>
      </c>
      <c r="B70" s="16"/>
      <c r="C70" s="17"/>
      <c r="D70" s="18"/>
      <c r="E70" s="27"/>
      <c r="F70" s="16"/>
    </row>
    <row r="71" spans="1:6" x14ac:dyDescent="0.35">
      <c r="A71" s="16" t="str">
        <f>IF(B71="","",_xlfn.AGGREGATE(3,5,$B$28:B71))</f>
        <v/>
      </c>
      <c r="B71" s="16"/>
      <c r="C71" s="17"/>
      <c r="D71" s="18"/>
      <c r="E71" s="27"/>
      <c r="F71" s="16"/>
    </row>
    <row r="72" spans="1:6" x14ac:dyDescent="0.35">
      <c r="A72" s="16" t="str">
        <f>IF(B72="","",_xlfn.AGGREGATE(3,5,$B$28:B72))</f>
        <v/>
      </c>
      <c r="B72" s="16"/>
      <c r="C72" s="17"/>
      <c r="D72" s="18"/>
      <c r="E72" s="27"/>
      <c r="F72" s="16"/>
    </row>
    <row r="73" spans="1:6" x14ac:dyDescent="0.35">
      <c r="A73" s="16" t="str">
        <f>IF(B73="","",_xlfn.AGGREGATE(3,5,$B$28:B73))</f>
        <v/>
      </c>
      <c r="B73" s="16"/>
      <c r="C73" s="17"/>
      <c r="D73" s="18"/>
      <c r="E73" s="27"/>
      <c r="F73" s="16"/>
    </row>
    <row r="74" spans="1:6" x14ac:dyDescent="0.35">
      <c r="A74" s="16" t="str">
        <f>IF(B74="","",_xlfn.AGGREGATE(3,5,$B$28:B74))</f>
        <v/>
      </c>
      <c r="B74" s="16"/>
      <c r="C74" s="17"/>
      <c r="D74" s="18"/>
      <c r="E74" s="27"/>
      <c r="F74" s="16"/>
    </row>
    <row r="75" spans="1:6" x14ac:dyDescent="0.35">
      <c r="A75" s="16" t="str">
        <f>IF(B75="","",_xlfn.AGGREGATE(3,5,$B$28:B75))</f>
        <v/>
      </c>
      <c r="B75" s="16"/>
      <c r="C75" s="17"/>
      <c r="D75" s="18"/>
      <c r="E75" s="27"/>
      <c r="F75" s="16"/>
    </row>
    <row r="76" spans="1:6" x14ac:dyDescent="0.35">
      <c r="A76" s="16" t="str">
        <f>IF(B76="","",_xlfn.AGGREGATE(3,5,$B$28:B76))</f>
        <v/>
      </c>
      <c r="B76" s="16"/>
      <c r="C76" s="17"/>
      <c r="D76" s="18"/>
      <c r="E76" s="27"/>
      <c r="F76" s="16"/>
    </row>
    <row r="77" spans="1:6" x14ac:dyDescent="0.35">
      <c r="A77" s="16" t="str">
        <f>IF(B77="","",_xlfn.AGGREGATE(3,5,$B$28:B77))</f>
        <v/>
      </c>
      <c r="B77" s="16"/>
      <c r="C77" s="17"/>
      <c r="D77" s="18"/>
      <c r="E77" s="27"/>
      <c r="F77" s="16"/>
    </row>
    <row r="78" spans="1:6" x14ac:dyDescent="0.35">
      <c r="A78" s="16" t="str">
        <f>IF(B78="","",_xlfn.AGGREGATE(3,5,$B$28:B78))</f>
        <v/>
      </c>
      <c r="B78" s="16"/>
      <c r="C78" s="17"/>
      <c r="D78" s="18"/>
      <c r="E78" s="27"/>
      <c r="F78" s="16"/>
    </row>
    <row r="79" spans="1:6" x14ac:dyDescent="0.35">
      <c r="A79" s="16" t="str">
        <f>IF(B79="","",_xlfn.AGGREGATE(3,5,$B$28:B79))</f>
        <v/>
      </c>
      <c r="B79" s="16"/>
      <c r="C79" s="17"/>
      <c r="D79" s="18"/>
      <c r="E79" s="27"/>
      <c r="F79" s="16"/>
    </row>
    <row r="80" spans="1:6" x14ac:dyDescent="0.35">
      <c r="A80" s="16" t="str">
        <f>IF(B80="","",_xlfn.AGGREGATE(3,5,$B$28:B80))</f>
        <v/>
      </c>
      <c r="B80" s="16"/>
      <c r="C80" s="17"/>
      <c r="D80" s="18"/>
      <c r="E80" s="27"/>
      <c r="F80" s="16"/>
    </row>
    <row r="81" spans="1:6" x14ac:dyDescent="0.35">
      <c r="A81" s="16" t="str">
        <f>IF(B81="","",_xlfn.AGGREGATE(3,5,$B$28:B81))</f>
        <v/>
      </c>
      <c r="B81" s="16"/>
      <c r="C81" s="17"/>
      <c r="D81" s="18"/>
      <c r="E81" s="27"/>
      <c r="F81" s="16"/>
    </row>
    <row r="82" spans="1:6" x14ac:dyDescent="0.35">
      <c r="A82" s="16" t="str">
        <f>IF(B82="","",_xlfn.AGGREGATE(3,5,$B$28:B82))</f>
        <v/>
      </c>
      <c r="B82" s="16"/>
      <c r="C82" s="17"/>
      <c r="D82" s="18"/>
      <c r="E82" s="27"/>
      <c r="F82" s="16"/>
    </row>
    <row r="83" spans="1:6" x14ac:dyDescent="0.35">
      <c r="A83" s="16" t="str">
        <f>IF(B83="","",_xlfn.AGGREGATE(3,5,$B$28:B83))</f>
        <v/>
      </c>
      <c r="B83" s="16"/>
      <c r="C83" s="17"/>
      <c r="D83" s="18"/>
      <c r="E83" s="27"/>
      <c r="F83" s="16"/>
    </row>
    <row r="84" spans="1:6" x14ac:dyDescent="0.35">
      <c r="A84" s="16" t="str">
        <f>IF(B84="","",_xlfn.AGGREGATE(3,5,$B$28:B84))</f>
        <v/>
      </c>
      <c r="B84" s="16"/>
      <c r="C84" s="17"/>
      <c r="D84" s="18"/>
      <c r="E84" s="27"/>
      <c r="F84" s="16"/>
    </row>
    <row r="85" spans="1:6" x14ac:dyDescent="0.35">
      <c r="A85" s="16" t="str">
        <f>IF(B85="","",_xlfn.AGGREGATE(3,5,$B$28:B85))</f>
        <v/>
      </c>
      <c r="B85" s="16"/>
      <c r="C85" s="17"/>
      <c r="D85" s="18"/>
      <c r="E85" s="27"/>
      <c r="F85" s="16"/>
    </row>
    <row r="86" spans="1:6" x14ac:dyDescent="0.35">
      <c r="A86" s="16" t="str">
        <f>IF(B86="","",_xlfn.AGGREGATE(3,5,$B$28:B86))</f>
        <v/>
      </c>
      <c r="B86" s="16"/>
      <c r="C86" s="17"/>
      <c r="D86" s="18"/>
      <c r="E86" s="27"/>
      <c r="F86" s="16"/>
    </row>
    <row r="87" spans="1:6" x14ac:dyDescent="0.35">
      <c r="A87" s="16" t="str">
        <f>IF(B87="","",_xlfn.AGGREGATE(3,5,$B$28:B87))</f>
        <v/>
      </c>
      <c r="B87" s="16"/>
      <c r="C87" s="17"/>
      <c r="D87" s="18"/>
      <c r="E87" s="27"/>
      <c r="F87" s="16"/>
    </row>
    <row r="88" spans="1:6" x14ac:dyDescent="0.35">
      <c r="A88" s="16" t="str">
        <f>IF(B88="","",_xlfn.AGGREGATE(3,5,$B$28:B88))</f>
        <v/>
      </c>
      <c r="B88" s="16"/>
      <c r="C88" s="17"/>
      <c r="D88" s="18"/>
      <c r="E88" s="27"/>
      <c r="F88" s="16"/>
    </row>
    <row r="89" spans="1:6" x14ac:dyDescent="0.35">
      <c r="A89" s="16" t="str">
        <f>IF(B89="","",_xlfn.AGGREGATE(3,5,$B$28:B89))</f>
        <v/>
      </c>
      <c r="B89" s="16"/>
      <c r="C89" s="17"/>
      <c r="D89" s="18"/>
      <c r="E89" s="27"/>
      <c r="F89" s="16"/>
    </row>
    <row r="90" spans="1:6" x14ac:dyDescent="0.35">
      <c r="A90" s="16" t="str">
        <f>IF(B90="","",_xlfn.AGGREGATE(3,5,$B$28:B90))</f>
        <v/>
      </c>
      <c r="B90" s="16"/>
      <c r="C90" s="17"/>
      <c r="D90" s="18"/>
      <c r="E90" s="27"/>
      <c r="F90" s="16"/>
    </row>
    <row r="91" spans="1:6" x14ac:dyDescent="0.35">
      <c r="A91" s="16" t="str">
        <f>IF(B91="","",_xlfn.AGGREGATE(3,5,$B$28:B91))</f>
        <v/>
      </c>
      <c r="B91" s="16"/>
      <c r="C91" s="17"/>
      <c r="D91" s="18"/>
      <c r="E91" s="27"/>
      <c r="F91" s="16"/>
    </row>
    <row r="92" spans="1:6" x14ac:dyDescent="0.35">
      <c r="A92" s="16" t="str">
        <f>IF(B92="","",_xlfn.AGGREGATE(3,5,$B$28:B92))</f>
        <v/>
      </c>
      <c r="B92" s="16"/>
      <c r="C92" s="17"/>
      <c r="D92" s="18"/>
      <c r="E92" s="27"/>
      <c r="F92" s="16"/>
    </row>
    <row r="93" spans="1:6" x14ac:dyDescent="0.35">
      <c r="A93" s="16" t="str">
        <f>IF(B93="","",_xlfn.AGGREGATE(3,5,$B$28:B93))</f>
        <v/>
      </c>
      <c r="B93" s="16"/>
      <c r="C93" s="17"/>
      <c r="D93" s="18"/>
      <c r="E93" s="27"/>
      <c r="F93" s="16"/>
    </row>
    <row r="94" spans="1:6" x14ac:dyDescent="0.35">
      <c r="A94" s="16" t="str">
        <f>IF(B94="","",_xlfn.AGGREGATE(3,5,$B$28:B94))</f>
        <v/>
      </c>
      <c r="B94" s="16"/>
      <c r="C94" s="17"/>
      <c r="D94" s="18"/>
      <c r="E94" s="27"/>
      <c r="F94" s="16"/>
    </row>
    <row r="95" spans="1:6" x14ac:dyDescent="0.35">
      <c r="A95" s="16" t="str">
        <f>IF(B95="","",_xlfn.AGGREGATE(3,5,$B$28:B95))</f>
        <v/>
      </c>
      <c r="B95" s="16"/>
      <c r="C95" s="17"/>
      <c r="D95" s="18"/>
      <c r="E95" s="27"/>
      <c r="F95" s="16"/>
    </row>
    <row r="96" spans="1:6" x14ac:dyDescent="0.35">
      <c r="A96" s="16" t="str">
        <f>IF(B96="","",_xlfn.AGGREGATE(3,5,$B$28:B96))</f>
        <v/>
      </c>
      <c r="B96" s="16"/>
      <c r="C96" s="17"/>
      <c r="D96" s="18"/>
      <c r="E96" s="27"/>
      <c r="F96" s="16"/>
    </row>
    <row r="97" spans="1:6" x14ac:dyDescent="0.35">
      <c r="A97" s="16" t="str">
        <f>IF(B97="","",_xlfn.AGGREGATE(3,5,$B$28:B97))</f>
        <v/>
      </c>
      <c r="B97" s="16"/>
      <c r="C97" s="17"/>
      <c r="D97" s="18"/>
      <c r="E97" s="27"/>
      <c r="F97" s="16"/>
    </row>
    <row r="98" spans="1:6" x14ac:dyDescent="0.35">
      <c r="A98" s="16" t="str">
        <f>IF(B98="","",_xlfn.AGGREGATE(3,5,$B$28:B98))</f>
        <v/>
      </c>
      <c r="B98" s="16"/>
      <c r="C98" s="17"/>
      <c r="D98" s="18"/>
      <c r="E98" s="27"/>
      <c r="F98" s="16"/>
    </row>
    <row r="99" spans="1:6" x14ac:dyDescent="0.35">
      <c r="A99" s="16" t="str">
        <f>IF(B99="","",_xlfn.AGGREGATE(3,5,$B$28:B99))</f>
        <v/>
      </c>
      <c r="B99" s="16"/>
      <c r="C99" s="17"/>
      <c r="D99" s="18"/>
      <c r="E99" s="27"/>
      <c r="F99" s="16"/>
    </row>
    <row r="100" spans="1:6" x14ac:dyDescent="0.35">
      <c r="A100" s="16" t="str">
        <f>IF(B100="","",_xlfn.AGGREGATE(3,5,$B$28:B100))</f>
        <v/>
      </c>
      <c r="B100" s="16"/>
      <c r="C100" s="17"/>
      <c r="D100" s="18"/>
      <c r="E100" s="27"/>
      <c r="F100" s="16"/>
    </row>
    <row r="101" spans="1:6" x14ac:dyDescent="0.35">
      <c r="A101" s="16" t="str">
        <f>IF(B101="","",_xlfn.AGGREGATE(3,5,$B$28:B101))</f>
        <v/>
      </c>
      <c r="B101" s="16"/>
      <c r="C101" s="17"/>
      <c r="D101" s="18"/>
      <c r="E101" s="27"/>
      <c r="F101" s="16"/>
    </row>
    <row r="102" spans="1:6" x14ac:dyDescent="0.35">
      <c r="A102" s="16" t="str">
        <f>IF(B102="","",_xlfn.AGGREGATE(3,5,$B$28:B102))</f>
        <v/>
      </c>
      <c r="B102" s="16"/>
      <c r="C102" s="17"/>
      <c r="D102" s="18"/>
      <c r="E102" s="27"/>
      <c r="F102" s="16"/>
    </row>
    <row r="103" spans="1:6" x14ac:dyDescent="0.35">
      <c r="A103" s="16" t="str">
        <f>IF(B103="","",_xlfn.AGGREGATE(3,5,$B$28:B103))</f>
        <v/>
      </c>
      <c r="B103" s="16"/>
      <c r="C103" s="17"/>
      <c r="D103" s="18"/>
      <c r="E103" s="27"/>
      <c r="F103" s="16"/>
    </row>
    <row r="104" spans="1:6" x14ac:dyDescent="0.35">
      <c r="A104" s="16" t="str">
        <f>IF(B104="","",_xlfn.AGGREGATE(3,5,$B$28:B104))</f>
        <v/>
      </c>
      <c r="B104" s="16"/>
      <c r="C104" s="17"/>
      <c r="D104" s="18"/>
      <c r="E104" s="27"/>
      <c r="F104" s="16"/>
    </row>
    <row r="105" spans="1:6" x14ac:dyDescent="0.35">
      <c r="A105" s="16" t="str">
        <f>IF(B105="","",_xlfn.AGGREGATE(3,5,$B$28:B105))</f>
        <v/>
      </c>
      <c r="B105" s="16"/>
      <c r="C105" s="17"/>
      <c r="D105" s="18"/>
      <c r="E105" s="27"/>
      <c r="F105" s="16"/>
    </row>
    <row r="106" spans="1:6" x14ac:dyDescent="0.35">
      <c r="A106" s="16" t="str">
        <f>IF(B106="","",_xlfn.AGGREGATE(3,5,$B$28:B106))</f>
        <v/>
      </c>
      <c r="B106" s="16"/>
      <c r="C106" s="17"/>
      <c r="D106" s="18"/>
      <c r="E106" s="27"/>
      <c r="F106" s="16"/>
    </row>
    <row r="107" spans="1:6" x14ac:dyDescent="0.35">
      <c r="A107" s="16"/>
      <c r="B107" s="16"/>
      <c r="C107" s="17"/>
      <c r="D107" s="18"/>
      <c r="E107" s="27"/>
      <c r="F107" s="16"/>
    </row>
    <row r="108" spans="1:6" x14ac:dyDescent="0.35">
      <c r="A108" s="16"/>
      <c r="B108" s="16"/>
      <c r="C108" s="17"/>
      <c r="D108" s="18"/>
      <c r="E108" s="27"/>
      <c r="F108" s="16"/>
    </row>
    <row r="109" spans="1:6" x14ac:dyDescent="0.35">
      <c r="A109" s="16"/>
      <c r="B109" s="16"/>
      <c r="C109" s="17"/>
      <c r="D109" s="18"/>
      <c r="E109" s="27"/>
      <c r="F109" s="16"/>
    </row>
    <row r="110" spans="1:6" x14ac:dyDescent="0.35">
      <c r="E110" s="28"/>
    </row>
    <row r="111" spans="1:6" x14ac:dyDescent="0.35">
      <c r="E111" s="28"/>
    </row>
    <row r="112" spans="1:6" x14ac:dyDescent="0.35">
      <c r="E112" s="28"/>
    </row>
    <row r="113" spans="5:5" x14ac:dyDescent="0.35">
      <c r="E113" s="28"/>
    </row>
    <row r="114" spans="5:5" x14ac:dyDescent="0.35">
      <c r="E114" s="28"/>
    </row>
    <row r="115" spans="5:5" x14ac:dyDescent="0.35">
      <c r="E115" s="28"/>
    </row>
    <row r="116" spans="5:5" x14ac:dyDescent="0.35">
      <c r="E116" s="28"/>
    </row>
    <row r="117" spans="5:5" x14ac:dyDescent="0.35">
      <c r="E117" s="28"/>
    </row>
    <row r="118" spans="5:5" x14ac:dyDescent="0.35">
      <c r="E118" s="28"/>
    </row>
    <row r="119" spans="5:5" x14ac:dyDescent="0.35">
      <c r="E119" s="28"/>
    </row>
    <row r="120" spans="5:5" x14ac:dyDescent="0.35">
      <c r="E120" s="28"/>
    </row>
    <row r="121" spans="5:5" x14ac:dyDescent="0.35">
      <c r="E121" s="28"/>
    </row>
    <row r="122" spans="5:5" x14ac:dyDescent="0.35">
      <c r="E122" s="28"/>
    </row>
    <row r="123" spans="5:5" x14ac:dyDescent="0.35">
      <c r="E123" s="28"/>
    </row>
    <row r="124" spans="5:5" x14ac:dyDescent="0.35">
      <c r="E124" s="28"/>
    </row>
    <row r="125" spans="5:5" x14ac:dyDescent="0.35">
      <c r="E125" s="28"/>
    </row>
    <row r="126" spans="5:5" x14ac:dyDescent="0.35">
      <c r="E126" s="28"/>
    </row>
    <row r="127" spans="5:5" x14ac:dyDescent="0.35">
      <c r="E127" s="28"/>
    </row>
    <row r="128" spans="5:5" x14ac:dyDescent="0.35">
      <c r="E128" s="28"/>
    </row>
    <row r="129" spans="5:5" x14ac:dyDescent="0.35">
      <c r="E129" s="28"/>
    </row>
    <row r="130" spans="5:5" x14ac:dyDescent="0.35">
      <c r="E130" s="28"/>
    </row>
    <row r="131" spans="5:5" x14ac:dyDescent="0.35">
      <c r="E131" s="28"/>
    </row>
    <row r="132" spans="5:5" x14ac:dyDescent="0.35">
      <c r="E132" s="28"/>
    </row>
    <row r="133" spans="5:5" x14ac:dyDescent="0.35">
      <c r="E133" s="28"/>
    </row>
    <row r="134" spans="5:5" x14ac:dyDescent="0.35">
      <c r="E134" s="28"/>
    </row>
    <row r="135" spans="5:5" x14ac:dyDescent="0.35">
      <c r="E135" s="28"/>
    </row>
    <row r="136" spans="5:5" x14ac:dyDescent="0.35">
      <c r="E136" s="28"/>
    </row>
    <row r="137" spans="5:5" x14ac:dyDescent="0.35">
      <c r="E137" s="28"/>
    </row>
    <row r="138" spans="5:5" x14ac:dyDescent="0.35">
      <c r="E138" s="28"/>
    </row>
    <row r="139" spans="5:5" x14ac:dyDescent="0.35">
      <c r="E139" s="28"/>
    </row>
    <row r="140" spans="5:5" x14ac:dyDescent="0.35">
      <c r="E140" s="28"/>
    </row>
    <row r="141" spans="5:5" x14ac:dyDescent="0.35">
      <c r="E141" s="28"/>
    </row>
    <row r="142" spans="5:5" x14ac:dyDescent="0.35">
      <c r="E142" s="28"/>
    </row>
    <row r="143" spans="5:5" x14ac:dyDescent="0.35">
      <c r="E143" s="28"/>
    </row>
    <row r="144" spans="5:5" x14ac:dyDescent="0.35">
      <c r="E144" s="28"/>
    </row>
    <row r="145" spans="5:5" x14ac:dyDescent="0.35">
      <c r="E145" s="28"/>
    </row>
    <row r="146" spans="5:5" x14ac:dyDescent="0.35">
      <c r="E146" s="28"/>
    </row>
    <row r="147" spans="5:5" x14ac:dyDescent="0.35">
      <c r="E147" s="28"/>
    </row>
    <row r="148" spans="5:5" x14ac:dyDescent="0.35">
      <c r="E148" s="28"/>
    </row>
    <row r="149" spans="5:5" x14ac:dyDescent="0.35">
      <c r="E149" s="28"/>
    </row>
    <row r="150" spans="5:5" x14ac:dyDescent="0.35">
      <c r="E150" s="28"/>
    </row>
    <row r="151" spans="5:5" x14ac:dyDescent="0.35">
      <c r="E151" s="28"/>
    </row>
    <row r="152" spans="5:5" x14ac:dyDescent="0.35">
      <c r="E152" s="28"/>
    </row>
    <row r="153" spans="5:5" x14ac:dyDescent="0.35">
      <c r="E153" s="28"/>
    </row>
    <row r="154" spans="5:5" x14ac:dyDescent="0.35">
      <c r="E154" s="28"/>
    </row>
    <row r="155" spans="5:5" x14ac:dyDescent="0.35">
      <c r="E155" s="28"/>
    </row>
    <row r="156" spans="5:5" x14ac:dyDescent="0.35">
      <c r="E156" s="28"/>
    </row>
    <row r="157" spans="5:5" x14ac:dyDescent="0.35">
      <c r="E157" s="28"/>
    </row>
    <row r="158" spans="5:5" x14ac:dyDescent="0.35">
      <c r="E158" s="28"/>
    </row>
    <row r="159" spans="5:5" x14ac:dyDescent="0.35">
      <c r="E159" s="28"/>
    </row>
    <row r="160" spans="5:5" x14ac:dyDescent="0.35">
      <c r="E160" s="28"/>
    </row>
    <row r="161" spans="5:5" x14ac:dyDescent="0.35">
      <c r="E161" s="28"/>
    </row>
    <row r="162" spans="5:5" x14ac:dyDescent="0.35">
      <c r="E162" s="28"/>
    </row>
    <row r="163" spans="5:5" x14ac:dyDescent="0.35">
      <c r="E163" s="28"/>
    </row>
    <row r="164" spans="5:5" x14ac:dyDescent="0.35">
      <c r="E164" s="28"/>
    </row>
    <row r="165" spans="5:5" x14ac:dyDescent="0.35">
      <c r="E165" s="28"/>
    </row>
    <row r="166" spans="5:5" x14ac:dyDescent="0.35">
      <c r="E166" s="28"/>
    </row>
    <row r="167" spans="5:5" x14ac:dyDescent="0.35">
      <c r="E167" s="28"/>
    </row>
    <row r="168" spans="5:5" x14ac:dyDescent="0.35">
      <c r="E168" s="28"/>
    </row>
    <row r="169" spans="5:5" x14ac:dyDescent="0.35">
      <c r="E169" s="28"/>
    </row>
    <row r="170" spans="5:5" x14ac:dyDescent="0.35">
      <c r="E170" s="28"/>
    </row>
    <row r="171" spans="5:5" x14ac:dyDescent="0.35">
      <c r="E171" s="28"/>
    </row>
    <row r="172" spans="5:5" x14ac:dyDescent="0.35">
      <c r="E172" s="28"/>
    </row>
    <row r="173" spans="5:5" x14ac:dyDescent="0.35">
      <c r="E173" s="28"/>
    </row>
    <row r="174" spans="5:5" x14ac:dyDescent="0.35">
      <c r="E174" s="28"/>
    </row>
    <row r="175" spans="5:5" x14ac:dyDescent="0.35">
      <c r="E175" s="28"/>
    </row>
    <row r="176" spans="5:5" x14ac:dyDescent="0.35">
      <c r="E176" s="28"/>
    </row>
    <row r="177" spans="5:5" x14ac:dyDescent="0.35">
      <c r="E177" s="28"/>
    </row>
    <row r="178" spans="5:5" x14ac:dyDescent="0.35">
      <c r="E178" s="28"/>
    </row>
    <row r="179" spans="5:5" x14ac:dyDescent="0.35">
      <c r="E179" s="28"/>
    </row>
    <row r="180" spans="5:5" x14ac:dyDescent="0.35">
      <c r="E180" s="28"/>
    </row>
    <row r="181" spans="5:5" x14ac:dyDescent="0.35">
      <c r="E181" s="28"/>
    </row>
    <row r="182" spans="5:5" x14ac:dyDescent="0.35">
      <c r="E182" s="28"/>
    </row>
    <row r="183" spans="5:5" x14ac:dyDescent="0.35">
      <c r="E183" s="28"/>
    </row>
    <row r="184" spans="5:5" x14ac:dyDescent="0.35">
      <c r="E184" s="28"/>
    </row>
    <row r="185" spans="5:5" x14ac:dyDescent="0.35">
      <c r="E185" s="28"/>
    </row>
    <row r="186" spans="5:5" x14ac:dyDescent="0.35">
      <c r="E186" s="28"/>
    </row>
    <row r="187" spans="5:5" x14ac:dyDescent="0.35">
      <c r="E187" s="28"/>
    </row>
    <row r="188" spans="5:5" x14ac:dyDescent="0.35">
      <c r="E188" s="28"/>
    </row>
    <row r="189" spans="5:5" x14ac:dyDescent="0.35">
      <c r="E189" s="28"/>
    </row>
    <row r="190" spans="5:5" x14ac:dyDescent="0.35">
      <c r="E190" s="28"/>
    </row>
    <row r="191" spans="5:5" x14ac:dyDescent="0.35">
      <c r="E191" s="28"/>
    </row>
    <row r="192" spans="5:5" x14ac:dyDescent="0.35">
      <c r="E192" s="28"/>
    </row>
    <row r="193" spans="5:5" x14ac:dyDescent="0.35">
      <c r="E193" s="28"/>
    </row>
    <row r="194" spans="5:5" x14ac:dyDescent="0.35">
      <c r="E194" s="28"/>
    </row>
    <row r="195" spans="5:5" x14ac:dyDescent="0.35">
      <c r="E195" s="28"/>
    </row>
    <row r="196" spans="5:5" x14ac:dyDescent="0.35">
      <c r="E196" s="28"/>
    </row>
    <row r="197" spans="5:5" x14ac:dyDescent="0.35">
      <c r="E197" s="28"/>
    </row>
    <row r="198" spans="5:5" x14ac:dyDescent="0.35">
      <c r="E198" s="28"/>
    </row>
    <row r="199" spans="5:5" x14ac:dyDescent="0.35">
      <c r="E199" s="28"/>
    </row>
    <row r="200" spans="5:5" x14ac:dyDescent="0.35">
      <c r="E200" s="28"/>
    </row>
    <row r="201" spans="5:5" x14ac:dyDescent="0.35">
      <c r="E201" s="28"/>
    </row>
    <row r="202" spans="5:5" x14ac:dyDescent="0.35">
      <c r="E202" s="28"/>
    </row>
    <row r="203" spans="5:5" x14ac:dyDescent="0.35">
      <c r="E203" s="28"/>
    </row>
    <row r="204" spans="5:5" x14ac:dyDescent="0.35">
      <c r="E204" s="28"/>
    </row>
    <row r="205" spans="5:5" x14ac:dyDescent="0.35">
      <c r="E205" s="28"/>
    </row>
    <row r="206" spans="5:5" x14ac:dyDescent="0.35">
      <c r="E206" s="28"/>
    </row>
    <row r="207" spans="5:5" x14ac:dyDescent="0.35">
      <c r="E207" s="28"/>
    </row>
    <row r="208" spans="5:5" x14ac:dyDescent="0.35">
      <c r="E208" s="28"/>
    </row>
    <row r="209" spans="5:5" x14ac:dyDescent="0.35">
      <c r="E209" s="28"/>
    </row>
    <row r="210" spans="5:5" x14ac:dyDescent="0.35">
      <c r="E210" s="28"/>
    </row>
    <row r="211" spans="5:5" x14ac:dyDescent="0.35">
      <c r="E211" s="28"/>
    </row>
    <row r="212" spans="5:5" x14ac:dyDescent="0.35">
      <c r="E212" s="28"/>
    </row>
    <row r="213" spans="5:5" x14ac:dyDescent="0.35">
      <c r="E213" s="28"/>
    </row>
    <row r="214" spans="5:5" x14ac:dyDescent="0.35">
      <c r="E214" s="28"/>
    </row>
    <row r="215" spans="5:5" x14ac:dyDescent="0.35">
      <c r="E215" s="28"/>
    </row>
    <row r="216" spans="5:5" x14ac:dyDescent="0.35">
      <c r="E216" s="28"/>
    </row>
    <row r="217" spans="5:5" x14ac:dyDescent="0.35">
      <c r="E217" s="28"/>
    </row>
    <row r="218" spans="5:5" x14ac:dyDescent="0.35">
      <c r="E218" s="28"/>
    </row>
    <row r="219" spans="5:5" x14ac:dyDescent="0.35">
      <c r="E219" s="28"/>
    </row>
    <row r="220" spans="5:5" x14ac:dyDescent="0.35">
      <c r="E220" s="28"/>
    </row>
    <row r="221" spans="5:5" x14ac:dyDescent="0.35">
      <c r="E221" s="28"/>
    </row>
    <row r="222" spans="5:5" x14ac:dyDescent="0.35">
      <c r="E222" s="28"/>
    </row>
    <row r="223" spans="5:5" x14ac:dyDescent="0.35">
      <c r="E223" s="28"/>
    </row>
    <row r="224" spans="5:5" x14ac:dyDescent="0.35">
      <c r="E224" s="28"/>
    </row>
    <row r="225" spans="5:5" x14ac:dyDescent="0.35">
      <c r="E225" s="28"/>
    </row>
    <row r="226" spans="5:5" x14ac:dyDescent="0.35">
      <c r="E226" s="28"/>
    </row>
    <row r="227" spans="5:5" x14ac:dyDescent="0.35">
      <c r="E227" s="28"/>
    </row>
    <row r="228" spans="5:5" x14ac:dyDescent="0.35">
      <c r="E228" s="28"/>
    </row>
    <row r="229" spans="5:5" x14ac:dyDescent="0.35">
      <c r="E229" s="28"/>
    </row>
    <row r="230" spans="5:5" x14ac:dyDescent="0.35">
      <c r="E230" s="28"/>
    </row>
    <row r="231" spans="5:5" x14ac:dyDescent="0.35">
      <c r="E231" s="28"/>
    </row>
    <row r="232" spans="5:5" x14ac:dyDescent="0.35">
      <c r="E232" s="28"/>
    </row>
    <row r="233" spans="5:5" x14ac:dyDescent="0.35">
      <c r="E233" s="28"/>
    </row>
    <row r="234" spans="5:5" x14ac:dyDescent="0.35">
      <c r="E234" s="28"/>
    </row>
    <row r="235" spans="5:5" x14ac:dyDescent="0.35">
      <c r="E235" s="28"/>
    </row>
    <row r="236" spans="5:5" x14ac:dyDescent="0.35">
      <c r="E236" s="28"/>
    </row>
    <row r="237" spans="5:5" x14ac:dyDescent="0.35">
      <c r="E237" s="28"/>
    </row>
    <row r="238" spans="5:5" x14ac:dyDescent="0.35">
      <c r="E238" s="28"/>
    </row>
    <row r="239" spans="5:5" x14ac:dyDescent="0.35">
      <c r="E239" s="28"/>
    </row>
    <row r="240" spans="5:5" x14ac:dyDescent="0.35">
      <c r="E240" s="28"/>
    </row>
    <row r="241" spans="5:5" x14ac:dyDescent="0.35">
      <c r="E241" s="28"/>
    </row>
    <row r="242" spans="5:5" x14ac:dyDescent="0.35">
      <c r="E242" s="28"/>
    </row>
    <row r="243" spans="5:5" x14ac:dyDescent="0.35">
      <c r="E243" s="28"/>
    </row>
    <row r="244" spans="5:5" x14ac:dyDescent="0.35">
      <c r="E244" s="28"/>
    </row>
    <row r="245" spans="5:5" x14ac:dyDescent="0.35">
      <c r="E245" s="28"/>
    </row>
    <row r="246" spans="5:5" x14ac:dyDescent="0.35">
      <c r="E246" s="28"/>
    </row>
    <row r="247" spans="5:5" x14ac:dyDescent="0.35">
      <c r="E247" s="28"/>
    </row>
    <row r="248" spans="5:5" x14ac:dyDescent="0.35">
      <c r="E248" s="28"/>
    </row>
    <row r="249" spans="5:5" x14ac:dyDescent="0.35">
      <c r="E249" s="28"/>
    </row>
    <row r="250" spans="5:5" x14ac:dyDescent="0.35">
      <c r="E250" s="28"/>
    </row>
    <row r="251" spans="5:5" x14ac:dyDescent="0.35">
      <c r="E251" s="28"/>
    </row>
    <row r="252" spans="5:5" x14ac:dyDescent="0.35">
      <c r="E252" s="28"/>
    </row>
    <row r="253" spans="5:5" x14ac:dyDescent="0.35">
      <c r="E253" s="28"/>
    </row>
    <row r="254" spans="5:5" x14ac:dyDescent="0.35">
      <c r="E254" s="28"/>
    </row>
    <row r="255" spans="5:5" x14ac:dyDescent="0.35">
      <c r="E255" s="28"/>
    </row>
    <row r="256" spans="5:5" x14ac:dyDescent="0.35">
      <c r="E256" s="28"/>
    </row>
    <row r="257" spans="5:5" x14ac:dyDescent="0.35">
      <c r="E257" s="28"/>
    </row>
    <row r="258" spans="5:5" x14ac:dyDescent="0.35">
      <c r="E258" s="28"/>
    </row>
    <row r="259" spans="5:5" x14ac:dyDescent="0.35">
      <c r="E259" s="28"/>
    </row>
    <row r="260" spans="5:5" x14ac:dyDescent="0.35">
      <c r="E260" s="28"/>
    </row>
    <row r="261" spans="5:5" x14ac:dyDescent="0.35">
      <c r="E261" s="28"/>
    </row>
    <row r="262" spans="5:5" x14ac:dyDescent="0.35">
      <c r="E262" s="28"/>
    </row>
    <row r="263" spans="5:5" x14ac:dyDescent="0.35">
      <c r="E263" s="28"/>
    </row>
    <row r="264" spans="5:5" x14ac:dyDescent="0.35">
      <c r="E264" s="28"/>
    </row>
    <row r="265" spans="5:5" x14ac:dyDescent="0.35">
      <c r="E265" s="28"/>
    </row>
    <row r="266" spans="5:5" x14ac:dyDescent="0.35">
      <c r="E266" s="28"/>
    </row>
    <row r="267" spans="5:5" x14ac:dyDescent="0.35">
      <c r="E267" s="28"/>
    </row>
    <row r="268" spans="5:5" x14ac:dyDescent="0.35">
      <c r="E268" s="28"/>
    </row>
    <row r="269" spans="5:5" x14ac:dyDescent="0.35">
      <c r="E269" s="28"/>
    </row>
    <row r="270" spans="5:5" x14ac:dyDescent="0.35">
      <c r="E270" s="28"/>
    </row>
    <row r="271" spans="5:5" x14ac:dyDescent="0.35">
      <c r="E271" s="28"/>
    </row>
    <row r="272" spans="5:5" x14ac:dyDescent="0.35">
      <c r="E272" s="28"/>
    </row>
    <row r="273" spans="5:5" x14ac:dyDescent="0.35">
      <c r="E273" s="28"/>
    </row>
    <row r="274" spans="5:5" x14ac:dyDescent="0.35">
      <c r="E274" s="28"/>
    </row>
    <row r="275" spans="5:5" x14ac:dyDescent="0.35">
      <c r="E275" s="28"/>
    </row>
    <row r="276" spans="5:5" x14ac:dyDescent="0.35">
      <c r="E276" s="28"/>
    </row>
    <row r="277" spans="5:5" x14ac:dyDescent="0.35">
      <c r="E277" s="28"/>
    </row>
    <row r="278" spans="5:5" x14ac:dyDescent="0.35">
      <c r="E278" s="28"/>
    </row>
    <row r="279" spans="5:5" x14ac:dyDescent="0.35">
      <c r="E279" s="28"/>
    </row>
    <row r="280" spans="5:5" x14ac:dyDescent="0.35">
      <c r="E280" s="28"/>
    </row>
    <row r="281" spans="5:5" x14ac:dyDescent="0.35">
      <c r="E281" s="28"/>
    </row>
    <row r="282" spans="5:5" x14ac:dyDescent="0.35">
      <c r="E282" s="28"/>
    </row>
    <row r="283" spans="5:5" x14ac:dyDescent="0.35">
      <c r="E283" s="28"/>
    </row>
    <row r="284" spans="5:5" x14ac:dyDescent="0.35">
      <c r="E284" s="28"/>
    </row>
    <row r="285" spans="5:5" x14ac:dyDescent="0.35">
      <c r="E285" s="28"/>
    </row>
    <row r="286" spans="5:5" x14ac:dyDescent="0.35">
      <c r="E286" s="28"/>
    </row>
    <row r="287" spans="5:5" x14ac:dyDescent="0.35">
      <c r="E287" s="28"/>
    </row>
    <row r="288" spans="5:5" x14ac:dyDescent="0.35">
      <c r="E288" s="28"/>
    </row>
    <row r="289" spans="5:5" x14ac:dyDescent="0.35">
      <c r="E289" s="28"/>
    </row>
    <row r="290" spans="5:5" x14ac:dyDescent="0.35">
      <c r="E290" s="28"/>
    </row>
    <row r="291" spans="5:5" x14ac:dyDescent="0.35">
      <c r="E291" s="28"/>
    </row>
    <row r="292" spans="5:5" x14ac:dyDescent="0.35">
      <c r="E292" s="28"/>
    </row>
    <row r="293" spans="5:5" x14ac:dyDescent="0.35">
      <c r="E293" s="28"/>
    </row>
    <row r="294" spans="5:5" x14ac:dyDescent="0.35">
      <c r="E294" s="28"/>
    </row>
    <row r="295" spans="5:5" x14ac:dyDescent="0.35">
      <c r="E295" s="28"/>
    </row>
    <row r="296" spans="5:5" x14ac:dyDescent="0.35">
      <c r="E296" s="28"/>
    </row>
    <row r="297" spans="5:5" x14ac:dyDescent="0.35">
      <c r="E297" s="28"/>
    </row>
    <row r="298" spans="5:5" x14ac:dyDescent="0.35">
      <c r="E298" s="28"/>
    </row>
    <row r="299" spans="5:5" x14ac:dyDescent="0.35">
      <c r="E299" s="28"/>
    </row>
    <row r="300" spans="5:5" x14ac:dyDescent="0.35">
      <c r="E300" s="28"/>
    </row>
    <row r="301" spans="5:5" x14ac:dyDescent="0.35">
      <c r="E301" s="28"/>
    </row>
    <row r="302" spans="5:5" x14ac:dyDescent="0.35">
      <c r="E302" s="28"/>
    </row>
    <row r="303" spans="5:5" x14ac:dyDescent="0.35">
      <c r="E303" s="28"/>
    </row>
    <row r="304" spans="5:5" x14ac:dyDescent="0.35">
      <c r="E304" s="28"/>
    </row>
    <row r="305" spans="5:5" x14ac:dyDescent="0.35">
      <c r="E305" s="28"/>
    </row>
    <row r="306" spans="5:5" x14ac:dyDescent="0.35">
      <c r="E306" s="28"/>
    </row>
    <row r="307" spans="5:5" x14ac:dyDescent="0.35">
      <c r="E307" s="28"/>
    </row>
    <row r="308" spans="5:5" x14ac:dyDescent="0.35">
      <c r="E308" s="28"/>
    </row>
    <row r="309" spans="5:5" x14ac:dyDescent="0.35">
      <c r="E309" s="28"/>
    </row>
    <row r="310" spans="5:5" x14ac:dyDescent="0.35">
      <c r="E310" s="28"/>
    </row>
    <row r="311" spans="5:5" x14ac:dyDescent="0.35">
      <c r="E311" s="28"/>
    </row>
    <row r="312" spans="5:5" x14ac:dyDescent="0.35">
      <c r="E312" s="28"/>
    </row>
    <row r="313" spans="5:5" x14ac:dyDescent="0.35">
      <c r="E313" s="28"/>
    </row>
    <row r="314" spans="5:5" x14ac:dyDescent="0.35">
      <c r="E314" s="28"/>
    </row>
    <row r="315" spans="5:5" x14ac:dyDescent="0.35">
      <c r="E315" s="28"/>
    </row>
    <row r="316" spans="5:5" x14ac:dyDescent="0.35">
      <c r="E316" s="28"/>
    </row>
    <row r="317" spans="5:5" x14ac:dyDescent="0.35">
      <c r="E317" s="28"/>
    </row>
    <row r="318" spans="5:5" x14ac:dyDescent="0.35">
      <c r="E318" s="28"/>
    </row>
    <row r="319" spans="5:5" x14ac:dyDescent="0.35">
      <c r="E319" s="28"/>
    </row>
    <row r="320" spans="5:5" x14ac:dyDescent="0.35">
      <c r="E320" s="28"/>
    </row>
    <row r="321" spans="5:5" x14ac:dyDescent="0.35">
      <c r="E321" s="28"/>
    </row>
    <row r="322" spans="5:5" x14ac:dyDescent="0.35">
      <c r="E322" s="28"/>
    </row>
    <row r="323" spans="5:5" x14ac:dyDescent="0.35">
      <c r="E323" s="28"/>
    </row>
    <row r="324" spans="5:5" x14ac:dyDescent="0.35">
      <c r="E324" s="28"/>
    </row>
    <row r="325" spans="5:5" x14ac:dyDescent="0.35">
      <c r="E325" s="28"/>
    </row>
    <row r="326" spans="5:5" x14ac:dyDescent="0.35">
      <c r="E326" s="28"/>
    </row>
    <row r="327" spans="5:5" x14ac:dyDescent="0.35">
      <c r="E327" s="28"/>
    </row>
    <row r="328" spans="5:5" x14ac:dyDescent="0.35">
      <c r="E328" s="28"/>
    </row>
    <row r="329" spans="5:5" x14ac:dyDescent="0.35">
      <c r="E329" s="28"/>
    </row>
    <row r="330" spans="5:5" x14ac:dyDescent="0.35">
      <c r="E330" s="28"/>
    </row>
    <row r="331" spans="5:5" x14ac:dyDescent="0.35">
      <c r="E331" s="28"/>
    </row>
    <row r="332" spans="5:5" x14ac:dyDescent="0.35">
      <c r="E332" s="28"/>
    </row>
    <row r="333" spans="5:5" x14ac:dyDescent="0.35">
      <c r="E333" s="28"/>
    </row>
    <row r="334" spans="5:5" x14ac:dyDescent="0.35">
      <c r="E334" s="28"/>
    </row>
    <row r="335" spans="5:5" x14ac:dyDescent="0.35">
      <c r="E335" s="28"/>
    </row>
    <row r="336" spans="5:5" x14ac:dyDescent="0.35">
      <c r="E336" s="28"/>
    </row>
    <row r="337" spans="5:5" x14ac:dyDescent="0.35">
      <c r="E337" s="28"/>
    </row>
    <row r="338" spans="5:5" x14ac:dyDescent="0.35">
      <c r="E338" s="28"/>
    </row>
    <row r="339" spans="5:5" x14ac:dyDescent="0.35">
      <c r="E339" s="28"/>
    </row>
    <row r="340" spans="5:5" x14ac:dyDescent="0.35">
      <c r="E340" s="28"/>
    </row>
    <row r="341" spans="5:5" x14ac:dyDescent="0.35">
      <c r="E341" s="28"/>
    </row>
    <row r="342" spans="5:5" x14ac:dyDescent="0.35">
      <c r="E342" s="28"/>
    </row>
    <row r="343" spans="5:5" x14ac:dyDescent="0.35">
      <c r="E343" s="28"/>
    </row>
    <row r="344" spans="5:5" x14ac:dyDescent="0.35">
      <c r="E344" s="28"/>
    </row>
    <row r="345" spans="5:5" x14ac:dyDescent="0.35">
      <c r="E345" s="28"/>
    </row>
    <row r="346" spans="5:5" x14ac:dyDescent="0.35">
      <c r="E346" s="28"/>
    </row>
    <row r="347" spans="5:5" x14ac:dyDescent="0.35">
      <c r="E347" s="28"/>
    </row>
    <row r="348" spans="5:5" x14ac:dyDescent="0.35">
      <c r="E348" s="28"/>
    </row>
    <row r="349" spans="5:5" x14ac:dyDescent="0.35">
      <c r="E349" s="28"/>
    </row>
    <row r="350" spans="5:5" x14ac:dyDescent="0.35">
      <c r="E350" s="28"/>
    </row>
    <row r="351" spans="5:5" x14ac:dyDescent="0.35">
      <c r="E351" s="28"/>
    </row>
    <row r="352" spans="5:5" x14ac:dyDescent="0.35">
      <c r="E352" s="28"/>
    </row>
    <row r="353" spans="5:5" x14ac:dyDescent="0.35">
      <c r="E353" s="28"/>
    </row>
    <row r="354" spans="5:5" x14ac:dyDescent="0.35">
      <c r="E354" s="28"/>
    </row>
    <row r="355" spans="5:5" x14ac:dyDescent="0.35">
      <c r="E355" s="28"/>
    </row>
    <row r="356" spans="5:5" x14ac:dyDescent="0.35">
      <c r="E356" s="28"/>
    </row>
    <row r="357" spans="5:5" x14ac:dyDescent="0.35">
      <c r="E357" s="28"/>
    </row>
    <row r="358" spans="5:5" x14ac:dyDescent="0.35">
      <c r="E358" s="28"/>
    </row>
    <row r="359" spans="5:5" x14ac:dyDescent="0.35">
      <c r="E359" s="28"/>
    </row>
    <row r="360" spans="5:5" x14ac:dyDescent="0.35">
      <c r="E360" s="28"/>
    </row>
    <row r="361" spans="5:5" x14ac:dyDescent="0.35">
      <c r="E361" s="28"/>
    </row>
    <row r="362" spans="5:5" x14ac:dyDescent="0.35">
      <c r="E362" s="28"/>
    </row>
    <row r="363" spans="5:5" x14ac:dyDescent="0.35">
      <c r="E363" s="28"/>
    </row>
    <row r="364" spans="5:5" x14ac:dyDescent="0.35">
      <c r="E364" s="28"/>
    </row>
    <row r="365" spans="5:5" x14ac:dyDescent="0.35">
      <c r="E365" s="28"/>
    </row>
    <row r="366" spans="5:5" x14ac:dyDescent="0.35">
      <c r="E366" s="28"/>
    </row>
    <row r="367" spans="5:5" x14ac:dyDescent="0.35">
      <c r="E367" s="28"/>
    </row>
    <row r="368" spans="5:5" x14ac:dyDescent="0.35">
      <c r="E368" s="28"/>
    </row>
    <row r="369" spans="5:5" x14ac:dyDescent="0.35">
      <c r="E369" s="28"/>
    </row>
    <row r="370" spans="5:5" x14ac:dyDescent="0.35">
      <c r="E370" s="28"/>
    </row>
    <row r="371" spans="5:5" x14ac:dyDescent="0.35">
      <c r="E371" s="28"/>
    </row>
    <row r="372" spans="5:5" x14ac:dyDescent="0.35">
      <c r="E372" s="28"/>
    </row>
    <row r="373" spans="5:5" x14ac:dyDescent="0.35">
      <c r="E373" s="28"/>
    </row>
    <row r="374" spans="5:5" x14ac:dyDescent="0.35">
      <c r="E374" s="28"/>
    </row>
    <row r="375" spans="5:5" x14ac:dyDescent="0.35">
      <c r="E375" s="28"/>
    </row>
    <row r="376" spans="5:5" x14ac:dyDescent="0.35">
      <c r="E376" s="28"/>
    </row>
    <row r="377" spans="5:5" x14ac:dyDescent="0.35">
      <c r="E377" s="28"/>
    </row>
    <row r="378" spans="5:5" x14ac:dyDescent="0.35">
      <c r="E378" s="28"/>
    </row>
    <row r="379" spans="5:5" x14ac:dyDescent="0.35">
      <c r="E379" s="28"/>
    </row>
    <row r="380" spans="5:5" x14ac:dyDescent="0.35">
      <c r="E380" s="28"/>
    </row>
    <row r="381" spans="5:5" x14ac:dyDescent="0.35">
      <c r="E381" s="28"/>
    </row>
    <row r="382" spans="5:5" x14ac:dyDescent="0.35">
      <c r="E382" s="28"/>
    </row>
    <row r="383" spans="5:5" x14ac:dyDescent="0.35">
      <c r="E383" s="28"/>
    </row>
    <row r="384" spans="5:5" x14ac:dyDescent="0.35">
      <c r="E384" s="28"/>
    </row>
    <row r="385" spans="5:5" x14ac:dyDescent="0.35">
      <c r="E385" s="28"/>
    </row>
    <row r="386" spans="5:5" x14ac:dyDescent="0.35">
      <c r="E386" s="28"/>
    </row>
    <row r="387" spans="5:5" x14ac:dyDescent="0.35">
      <c r="E387" s="28"/>
    </row>
    <row r="388" spans="5:5" x14ac:dyDescent="0.35">
      <c r="E388" s="28"/>
    </row>
    <row r="389" spans="5:5" x14ac:dyDescent="0.35">
      <c r="E389" s="28"/>
    </row>
    <row r="390" spans="5:5" x14ac:dyDescent="0.35">
      <c r="E390" s="28"/>
    </row>
    <row r="391" spans="5:5" x14ac:dyDescent="0.35">
      <c r="E391" s="28"/>
    </row>
    <row r="392" spans="5:5" x14ac:dyDescent="0.35">
      <c r="E392" s="28"/>
    </row>
    <row r="393" spans="5:5" x14ac:dyDescent="0.35">
      <c r="E393" s="28"/>
    </row>
    <row r="394" spans="5:5" x14ac:dyDescent="0.35">
      <c r="E394" s="28"/>
    </row>
    <row r="395" spans="5:5" x14ac:dyDescent="0.35">
      <c r="E395" s="28"/>
    </row>
    <row r="396" spans="5:5" x14ac:dyDescent="0.35">
      <c r="E396" s="28"/>
    </row>
    <row r="397" spans="5:5" x14ac:dyDescent="0.35">
      <c r="E397" s="28"/>
    </row>
    <row r="398" spans="5:5" x14ac:dyDescent="0.35">
      <c r="E398" s="28"/>
    </row>
    <row r="399" spans="5:5" x14ac:dyDescent="0.35">
      <c r="E399" s="28"/>
    </row>
    <row r="400" spans="5:5" x14ac:dyDescent="0.35">
      <c r="E400" s="28"/>
    </row>
    <row r="401" spans="5:5" x14ac:dyDescent="0.35">
      <c r="E401" s="28"/>
    </row>
    <row r="402" spans="5:5" x14ac:dyDescent="0.35">
      <c r="E402" s="28"/>
    </row>
    <row r="403" spans="5:5" x14ac:dyDescent="0.35">
      <c r="E403" s="28"/>
    </row>
    <row r="404" spans="5:5" x14ac:dyDescent="0.35">
      <c r="E404" s="28"/>
    </row>
    <row r="405" spans="5:5" x14ac:dyDescent="0.35">
      <c r="E405" s="28"/>
    </row>
    <row r="406" spans="5:5" x14ac:dyDescent="0.35">
      <c r="E406" s="28"/>
    </row>
    <row r="407" spans="5:5" x14ac:dyDescent="0.35">
      <c r="E407" s="28"/>
    </row>
    <row r="408" spans="5:5" x14ac:dyDescent="0.35">
      <c r="E408" s="28"/>
    </row>
    <row r="409" spans="5:5" x14ac:dyDescent="0.35">
      <c r="E409" s="28"/>
    </row>
    <row r="410" spans="5:5" x14ac:dyDescent="0.35">
      <c r="E410" s="28"/>
    </row>
    <row r="411" spans="5:5" x14ac:dyDescent="0.35">
      <c r="E411" s="28"/>
    </row>
    <row r="412" spans="5:5" x14ac:dyDescent="0.35">
      <c r="E412" s="28"/>
    </row>
    <row r="413" spans="5:5" x14ac:dyDescent="0.35">
      <c r="E413" s="28"/>
    </row>
    <row r="414" spans="5:5" x14ac:dyDescent="0.35">
      <c r="E414" s="28"/>
    </row>
    <row r="415" spans="5:5" x14ac:dyDescent="0.35">
      <c r="E415" s="28"/>
    </row>
    <row r="416" spans="5:5" x14ac:dyDescent="0.35">
      <c r="E416" s="28"/>
    </row>
    <row r="417" spans="5:5" x14ac:dyDescent="0.35">
      <c r="E417" s="28"/>
    </row>
    <row r="418" spans="5:5" x14ac:dyDescent="0.35">
      <c r="E418" s="28"/>
    </row>
    <row r="419" spans="5:5" x14ac:dyDescent="0.35">
      <c r="E419" s="28"/>
    </row>
    <row r="420" spans="5:5" x14ac:dyDescent="0.35">
      <c r="E420" s="28"/>
    </row>
    <row r="421" spans="5:5" x14ac:dyDescent="0.35">
      <c r="E421" s="28"/>
    </row>
    <row r="422" spans="5:5" x14ac:dyDescent="0.35">
      <c r="E422" s="28"/>
    </row>
    <row r="423" spans="5:5" x14ac:dyDescent="0.35">
      <c r="E423" s="28"/>
    </row>
    <row r="424" spans="5:5" x14ac:dyDescent="0.35">
      <c r="E424" s="28"/>
    </row>
    <row r="425" spans="5:5" x14ac:dyDescent="0.35">
      <c r="E425" s="28"/>
    </row>
    <row r="426" spans="5:5" x14ac:dyDescent="0.35">
      <c r="E426" s="28"/>
    </row>
    <row r="427" spans="5:5" x14ac:dyDescent="0.35">
      <c r="E427" s="28"/>
    </row>
    <row r="428" spans="5:5" x14ac:dyDescent="0.35">
      <c r="E428" s="28"/>
    </row>
    <row r="429" spans="5:5" x14ac:dyDescent="0.35">
      <c r="E429" s="28"/>
    </row>
    <row r="430" spans="5:5" x14ac:dyDescent="0.35">
      <c r="E430" s="28"/>
    </row>
    <row r="431" spans="5:5" x14ac:dyDescent="0.35">
      <c r="E431" s="28"/>
    </row>
    <row r="432" spans="5:5" x14ac:dyDescent="0.35">
      <c r="E432" s="28"/>
    </row>
    <row r="433" spans="5:5" x14ac:dyDescent="0.35">
      <c r="E433" s="28"/>
    </row>
    <row r="434" spans="5:5" x14ac:dyDescent="0.35">
      <c r="E434" s="28"/>
    </row>
    <row r="435" spans="5:5" x14ac:dyDescent="0.35">
      <c r="E435" s="28"/>
    </row>
    <row r="436" spans="5:5" x14ac:dyDescent="0.35">
      <c r="E436" s="28"/>
    </row>
    <row r="437" spans="5:5" x14ac:dyDescent="0.35">
      <c r="E437" s="28"/>
    </row>
    <row r="438" spans="5:5" x14ac:dyDescent="0.35">
      <c r="E438" s="28"/>
    </row>
    <row r="439" spans="5:5" x14ac:dyDescent="0.35">
      <c r="E439" s="28"/>
    </row>
    <row r="440" spans="5:5" x14ac:dyDescent="0.35">
      <c r="E440" s="28"/>
    </row>
    <row r="441" spans="5:5" x14ac:dyDescent="0.35">
      <c r="E441" s="28"/>
    </row>
    <row r="442" spans="5:5" x14ac:dyDescent="0.35">
      <c r="E442" s="28"/>
    </row>
    <row r="443" spans="5:5" x14ac:dyDescent="0.35">
      <c r="E443" s="28"/>
    </row>
    <row r="444" spans="5:5" x14ac:dyDescent="0.35">
      <c r="E444" s="28"/>
    </row>
    <row r="445" spans="5:5" x14ac:dyDescent="0.35">
      <c r="E445" s="28"/>
    </row>
    <row r="446" spans="5:5" x14ac:dyDescent="0.35">
      <c r="E446" s="28"/>
    </row>
    <row r="447" spans="5:5" x14ac:dyDescent="0.35">
      <c r="E447" s="28"/>
    </row>
    <row r="448" spans="5:5" x14ac:dyDescent="0.35">
      <c r="E448" s="28"/>
    </row>
    <row r="449" spans="5:5" x14ac:dyDescent="0.35">
      <c r="E449" s="28"/>
    </row>
    <row r="450" spans="5:5" x14ac:dyDescent="0.35">
      <c r="E450" s="28"/>
    </row>
    <row r="451" spans="5:5" x14ac:dyDescent="0.35">
      <c r="E451" s="28"/>
    </row>
    <row r="452" spans="5:5" x14ac:dyDescent="0.35">
      <c r="E452" s="28"/>
    </row>
    <row r="453" spans="5:5" x14ac:dyDescent="0.35">
      <c r="E453" s="28"/>
    </row>
    <row r="454" spans="5:5" x14ac:dyDescent="0.35">
      <c r="E454" s="28"/>
    </row>
    <row r="455" spans="5:5" x14ac:dyDescent="0.35">
      <c r="E455" s="28"/>
    </row>
    <row r="456" spans="5:5" x14ac:dyDescent="0.35">
      <c r="E456" s="28"/>
    </row>
    <row r="457" spans="5:5" x14ac:dyDescent="0.35">
      <c r="E457" s="28"/>
    </row>
    <row r="458" spans="5:5" x14ac:dyDescent="0.35">
      <c r="E458" s="28"/>
    </row>
    <row r="459" spans="5:5" x14ac:dyDescent="0.35">
      <c r="E459" s="28"/>
    </row>
    <row r="460" spans="5:5" x14ac:dyDescent="0.35">
      <c r="E460" s="28"/>
    </row>
    <row r="461" spans="5:5" x14ac:dyDescent="0.35">
      <c r="E461" s="28"/>
    </row>
    <row r="462" spans="5:5" x14ac:dyDescent="0.35">
      <c r="E462" s="28"/>
    </row>
    <row r="463" spans="5:5" x14ac:dyDescent="0.35">
      <c r="E463" s="28"/>
    </row>
    <row r="464" spans="5:5" x14ac:dyDescent="0.35">
      <c r="E464" s="28"/>
    </row>
    <row r="465" spans="5:5" x14ac:dyDescent="0.35">
      <c r="E465" s="28"/>
    </row>
    <row r="466" spans="5:5" x14ac:dyDescent="0.35">
      <c r="E466" s="28"/>
    </row>
    <row r="467" spans="5:5" x14ac:dyDescent="0.35">
      <c r="E467" s="28"/>
    </row>
    <row r="468" spans="5:5" x14ac:dyDescent="0.35">
      <c r="E468" s="28"/>
    </row>
    <row r="469" spans="5:5" x14ac:dyDescent="0.35">
      <c r="E469" s="28"/>
    </row>
    <row r="470" spans="5:5" x14ac:dyDescent="0.35">
      <c r="E470" s="28"/>
    </row>
    <row r="471" spans="5:5" x14ac:dyDescent="0.35">
      <c r="E471" s="28"/>
    </row>
    <row r="472" spans="5:5" x14ac:dyDescent="0.35">
      <c r="E472" s="28"/>
    </row>
    <row r="473" spans="5:5" x14ac:dyDescent="0.35">
      <c r="E473" s="28"/>
    </row>
    <row r="474" spans="5:5" x14ac:dyDescent="0.35">
      <c r="E474" s="28"/>
    </row>
    <row r="475" spans="5:5" x14ac:dyDescent="0.35">
      <c r="E475" s="28"/>
    </row>
    <row r="476" spans="5:5" x14ac:dyDescent="0.35">
      <c r="E476" s="28"/>
    </row>
    <row r="477" spans="5:5" x14ac:dyDescent="0.35">
      <c r="E477" s="28"/>
    </row>
    <row r="478" spans="5:5" x14ac:dyDescent="0.35">
      <c r="E478" s="28"/>
    </row>
    <row r="479" spans="5:5" x14ac:dyDescent="0.35">
      <c r="E479" s="28"/>
    </row>
    <row r="480" spans="5:5" x14ac:dyDescent="0.35">
      <c r="E480" s="28"/>
    </row>
    <row r="481" spans="5:5" x14ac:dyDescent="0.35">
      <c r="E481" s="28"/>
    </row>
    <row r="482" spans="5:5" x14ac:dyDescent="0.35">
      <c r="E482" s="28"/>
    </row>
    <row r="483" spans="5:5" x14ac:dyDescent="0.35">
      <c r="E483" s="28"/>
    </row>
    <row r="484" spans="5:5" x14ac:dyDescent="0.35">
      <c r="E484" s="28"/>
    </row>
    <row r="485" spans="5:5" x14ac:dyDescent="0.35">
      <c r="E485" s="28"/>
    </row>
    <row r="486" spans="5:5" x14ac:dyDescent="0.35">
      <c r="E486" s="28"/>
    </row>
    <row r="487" spans="5:5" x14ac:dyDescent="0.35">
      <c r="E487" s="28"/>
    </row>
    <row r="488" spans="5:5" x14ac:dyDescent="0.35">
      <c r="E488" s="28"/>
    </row>
    <row r="489" spans="5:5" x14ac:dyDescent="0.35">
      <c r="E489" s="28"/>
    </row>
    <row r="490" spans="5:5" x14ac:dyDescent="0.35">
      <c r="E490" s="28"/>
    </row>
    <row r="491" spans="5:5" x14ac:dyDescent="0.35">
      <c r="E491" s="28"/>
    </row>
    <row r="492" spans="5:5" x14ac:dyDescent="0.35">
      <c r="E492" s="28"/>
    </row>
    <row r="493" spans="5:5" x14ac:dyDescent="0.35">
      <c r="E493" s="28"/>
    </row>
    <row r="494" spans="5:5" x14ac:dyDescent="0.35">
      <c r="E494" s="28"/>
    </row>
    <row r="495" spans="5:5" x14ac:dyDescent="0.35">
      <c r="E495" s="28"/>
    </row>
    <row r="496" spans="5:5" x14ac:dyDescent="0.35">
      <c r="E496" s="28"/>
    </row>
    <row r="497" spans="5:5" x14ac:dyDescent="0.35">
      <c r="E497" s="28"/>
    </row>
    <row r="498" spans="5:5" x14ac:dyDescent="0.35">
      <c r="E498" s="28"/>
    </row>
    <row r="499" spans="5:5" x14ac:dyDescent="0.35">
      <c r="E499" s="28"/>
    </row>
    <row r="500" spans="5:5" x14ac:dyDescent="0.35">
      <c r="E500" s="28"/>
    </row>
    <row r="501" spans="5:5" x14ac:dyDescent="0.35">
      <c r="E501" s="28"/>
    </row>
    <row r="502" spans="5:5" x14ac:dyDescent="0.35">
      <c r="E502" s="28"/>
    </row>
    <row r="503" spans="5:5" x14ac:dyDescent="0.35">
      <c r="E503" s="28"/>
    </row>
    <row r="504" spans="5:5" x14ac:dyDescent="0.35">
      <c r="E504" s="28"/>
    </row>
    <row r="505" spans="5:5" x14ac:dyDescent="0.35">
      <c r="E505" s="28"/>
    </row>
    <row r="506" spans="5:5" x14ac:dyDescent="0.35">
      <c r="E506" s="28"/>
    </row>
    <row r="507" spans="5:5" x14ac:dyDescent="0.35">
      <c r="E507" s="28"/>
    </row>
    <row r="508" spans="5:5" x14ac:dyDescent="0.35">
      <c r="E508" s="28"/>
    </row>
    <row r="509" spans="5:5" x14ac:dyDescent="0.35">
      <c r="E509" s="28"/>
    </row>
    <row r="510" spans="5:5" x14ac:dyDescent="0.35">
      <c r="E510" s="28"/>
    </row>
    <row r="511" spans="5:5" x14ac:dyDescent="0.35">
      <c r="E511" s="28"/>
    </row>
    <row r="512" spans="5:5" x14ac:dyDescent="0.35">
      <c r="E512" s="28"/>
    </row>
    <row r="513" spans="5:5" x14ac:dyDescent="0.35">
      <c r="E513" s="28"/>
    </row>
    <row r="514" spans="5:5" x14ac:dyDescent="0.35">
      <c r="E514" s="28"/>
    </row>
    <row r="515" spans="5:5" x14ac:dyDescent="0.35">
      <c r="E515" s="28"/>
    </row>
    <row r="516" spans="5:5" x14ac:dyDescent="0.35">
      <c r="E516" s="28"/>
    </row>
    <row r="517" spans="5:5" x14ac:dyDescent="0.35">
      <c r="E517" s="28"/>
    </row>
    <row r="518" spans="5:5" x14ac:dyDescent="0.35">
      <c r="E518" s="28"/>
    </row>
    <row r="519" spans="5:5" x14ac:dyDescent="0.35">
      <c r="E519" s="28"/>
    </row>
    <row r="520" spans="5:5" x14ac:dyDescent="0.35">
      <c r="E520" s="28"/>
    </row>
    <row r="521" spans="5:5" x14ac:dyDescent="0.35">
      <c r="E521" s="28"/>
    </row>
    <row r="522" spans="5:5" x14ac:dyDescent="0.35">
      <c r="E522" s="28"/>
    </row>
    <row r="523" spans="5:5" x14ac:dyDescent="0.35">
      <c r="E523" s="28"/>
    </row>
    <row r="524" spans="5:5" x14ac:dyDescent="0.35">
      <c r="E524" s="28"/>
    </row>
    <row r="525" spans="5:5" x14ac:dyDescent="0.35">
      <c r="E525" s="28"/>
    </row>
    <row r="526" spans="5:5" x14ac:dyDescent="0.35">
      <c r="E526" s="28"/>
    </row>
    <row r="527" spans="5:5" x14ac:dyDescent="0.35">
      <c r="E527" s="28"/>
    </row>
    <row r="528" spans="5:5" x14ac:dyDescent="0.35">
      <c r="E528" s="28"/>
    </row>
    <row r="529" spans="5:5" x14ac:dyDescent="0.35">
      <c r="E529" s="28"/>
    </row>
    <row r="530" spans="5:5" x14ac:dyDescent="0.35">
      <c r="E530" s="28"/>
    </row>
    <row r="531" spans="5:5" x14ac:dyDescent="0.35">
      <c r="E531" s="28"/>
    </row>
    <row r="532" spans="5:5" x14ac:dyDescent="0.35">
      <c r="E532" s="28"/>
    </row>
    <row r="533" spans="5:5" x14ac:dyDescent="0.35">
      <c r="E533" s="28"/>
    </row>
    <row r="534" spans="5:5" x14ac:dyDescent="0.35">
      <c r="E534" s="28"/>
    </row>
    <row r="535" spans="5:5" x14ac:dyDescent="0.35">
      <c r="E535" s="28"/>
    </row>
    <row r="536" spans="5:5" x14ac:dyDescent="0.35">
      <c r="E536" s="28"/>
    </row>
    <row r="537" spans="5:5" x14ac:dyDescent="0.35">
      <c r="E537" s="28"/>
    </row>
    <row r="538" spans="5:5" x14ac:dyDescent="0.35">
      <c r="E538" s="28"/>
    </row>
    <row r="539" spans="5:5" x14ac:dyDescent="0.35">
      <c r="E539" s="28"/>
    </row>
    <row r="540" spans="5:5" x14ac:dyDescent="0.35">
      <c r="E540" s="28"/>
    </row>
    <row r="541" spans="5:5" x14ac:dyDescent="0.35">
      <c r="E541" s="28"/>
    </row>
    <row r="542" spans="5:5" x14ac:dyDescent="0.35">
      <c r="E542" s="28"/>
    </row>
    <row r="543" spans="5:5" x14ac:dyDescent="0.35">
      <c r="E543" s="28"/>
    </row>
    <row r="544" spans="5:5" x14ac:dyDescent="0.35">
      <c r="E544" s="28"/>
    </row>
    <row r="545" spans="5:5" x14ac:dyDescent="0.35">
      <c r="E545" s="28"/>
    </row>
    <row r="546" spans="5:5" x14ac:dyDescent="0.35">
      <c r="E546" s="28"/>
    </row>
    <row r="547" spans="5:5" x14ac:dyDescent="0.35">
      <c r="E547" s="28"/>
    </row>
    <row r="548" spans="5:5" x14ac:dyDescent="0.35">
      <c r="E548" s="28"/>
    </row>
    <row r="549" spans="5:5" x14ac:dyDescent="0.35">
      <c r="E549" s="28"/>
    </row>
    <row r="550" spans="5:5" x14ac:dyDescent="0.35">
      <c r="E550" s="28"/>
    </row>
    <row r="551" spans="5:5" x14ac:dyDescent="0.35">
      <c r="E551" s="28"/>
    </row>
    <row r="552" spans="5:5" x14ac:dyDescent="0.35">
      <c r="E552" s="28"/>
    </row>
    <row r="553" spans="5:5" x14ac:dyDescent="0.35">
      <c r="E553" s="28"/>
    </row>
    <row r="554" spans="5:5" x14ac:dyDescent="0.35">
      <c r="E554" s="28"/>
    </row>
    <row r="555" spans="5:5" x14ac:dyDescent="0.35">
      <c r="E555" s="28"/>
    </row>
    <row r="556" spans="5:5" x14ac:dyDescent="0.35">
      <c r="E556" s="28"/>
    </row>
    <row r="557" spans="5:5" x14ac:dyDescent="0.35">
      <c r="E557" s="28"/>
    </row>
    <row r="558" spans="5:5" x14ac:dyDescent="0.35">
      <c r="E558" s="28"/>
    </row>
    <row r="559" spans="5:5" x14ac:dyDescent="0.35">
      <c r="E559" s="28"/>
    </row>
    <row r="560" spans="5:5" x14ac:dyDescent="0.35">
      <c r="E560" s="28"/>
    </row>
    <row r="561" spans="5:5" x14ac:dyDescent="0.35">
      <c r="E561" s="28"/>
    </row>
    <row r="562" spans="5:5" x14ac:dyDescent="0.35">
      <c r="E562" s="28"/>
    </row>
    <row r="563" spans="5:5" x14ac:dyDescent="0.35">
      <c r="E563" s="28"/>
    </row>
    <row r="564" spans="5:5" x14ac:dyDescent="0.35">
      <c r="E564" s="28"/>
    </row>
    <row r="565" spans="5:5" x14ac:dyDescent="0.35">
      <c r="E565" s="28"/>
    </row>
    <row r="566" spans="5:5" x14ac:dyDescent="0.35">
      <c r="E566" s="28"/>
    </row>
    <row r="567" spans="5:5" x14ac:dyDescent="0.35">
      <c r="E567" s="28"/>
    </row>
    <row r="568" spans="5:5" x14ac:dyDescent="0.35">
      <c r="E568" s="28"/>
    </row>
    <row r="569" spans="5:5" x14ac:dyDescent="0.35">
      <c r="E569" s="28"/>
    </row>
    <row r="570" spans="5:5" x14ac:dyDescent="0.35">
      <c r="E570" s="28"/>
    </row>
    <row r="571" spans="5:5" x14ac:dyDescent="0.35">
      <c r="E571" s="28"/>
    </row>
    <row r="572" spans="5:5" x14ac:dyDescent="0.35">
      <c r="E572" s="28"/>
    </row>
    <row r="573" spans="5:5" x14ac:dyDescent="0.35">
      <c r="E573" s="28"/>
    </row>
    <row r="574" spans="5:5" x14ac:dyDescent="0.35">
      <c r="E574" s="28"/>
    </row>
    <row r="575" spans="5:5" x14ac:dyDescent="0.35">
      <c r="E575" s="28"/>
    </row>
    <row r="576" spans="5:5" x14ac:dyDescent="0.35">
      <c r="E576" s="28"/>
    </row>
    <row r="577" spans="5:5" x14ac:dyDescent="0.35">
      <c r="E577" s="28"/>
    </row>
    <row r="578" spans="5:5" x14ac:dyDescent="0.35">
      <c r="E578" s="28"/>
    </row>
    <row r="579" spans="5:5" x14ac:dyDescent="0.35">
      <c r="E579" s="28"/>
    </row>
    <row r="580" spans="5:5" x14ac:dyDescent="0.35">
      <c r="E580" s="28"/>
    </row>
    <row r="581" spans="5:5" x14ac:dyDescent="0.35">
      <c r="E581" s="28"/>
    </row>
    <row r="582" spans="5:5" x14ac:dyDescent="0.35">
      <c r="E582" s="28"/>
    </row>
    <row r="583" spans="5:5" x14ac:dyDescent="0.35">
      <c r="E583" s="28"/>
    </row>
    <row r="584" spans="5:5" x14ac:dyDescent="0.35">
      <c r="E584" s="28"/>
    </row>
    <row r="585" spans="5:5" x14ac:dyDescent="0.35">
      <c r="E585" s="28"/>
    </row>
    <row r="586" spans="5:5" x14ac:dyDescent="0.35">
      <c r="E586" s="28"/>
    </row>
    <row r="587" spans="5:5" x14ac:dyDescent="0.35">
      <c r="E587" s="28"/>
    </row>
    <row r="588" spans="5:5" x14ac:dyDescent="0.35">
      <c r="E588" s="28"/>
    </row>
    <row r="589" spans="5:5" x14ac:dyDescent="0.35">
      <c r="E589" s="28"/>
    </row>
    <row r="590" spans="5:5" x14ac:dyDescent="0.35">
      <c r="E590" s="28"/>
    </row>
    <row r="591" spans="5:5" x14ac:dyDescent="0.35">
      <c r="E591" s="28"/>
    </row>
    <row r="592" spans="5:5" x14ac:dyDescent="0.35">
      <c r="E592" s="28"/>
    </row>
    <row r="593" spans="5:5" x14ac:dyDescent="0.35">
      <c r="E593" s="28"/>
    </row>
    <row r="594" spans="5:5" x14ac:dyDescent="0.35">
      <c r="E594" s="28"/>
    </row>
    <row r="595" spans="5:5" x14ac:dyDescent="0.35">
      <c r="E595" s="28"/>
    </row>
    <row r="596" spans="5:5" x14ac:dyDescent="0.35">
      <c r="E596" s="28"/>
    </row>
    <row r="597" spans="5:5" x14ac:dyDescent="0.35">
      <c r="E597" s="28"/>
    </row>
    <row r="598" spans="5:5" x14ac:dyDescent="0.35">
      <c r="E598" s="28"/>
    </row>
    <row r="599" spans="5:5" x14ac:dyDescent="0.35">
      <c r="E599" s="28"/>
    </row>
    <row r="600" spans="5:5" x14ac:dyDescent="0.35">
      <c r="E600" s="28"/>
    </row>
    <row r="601" spans="5:5" x14ac:dyDescent="0.35">
      <c r="E601" s="28"/>
    </row>
    <row r="602" spans="5:5" x14ac:dyDescent="0.35">
      <c r="E602" s="28"/>
    </row>
    <row r="603" spans="5:5" x14ac:dyDescent="0.35">
      <c r="E603" s="28"/>
    </row>
    <row r="604" spans="5:5" x14ac:dyDescent="0.35">
      <c r="E604" s="28"/>
    </row>
    <row r="605" spans="5:5" x14ac:dyDescent="0.35">
      <c r="E605" s="28"/>
    </row>
    <row r="606" spans="5:5" x14ac:dyDescent="0.35">
      <c r="E606" s="28"/>
    </row>
    <row r="607" spans="5:5" x14ac:dyDescent="0.35">
      <c r="E607" s="28"/>
    </row>
    <row r="608" spans="5:5" x14ac:dyDescent="0.35">
      <c r="E608" s="28"/>
    </row>
    <row r="609" spans="5:5" x14ac:dyDescent="0.35">
      <c r="E609" s="28"/>
    </row>
    <row r="610" spans="5:5" x14ac:dyDescent="0.35">
      <c r="E610" s="28"/>
    </row>
    <row r="611" spans="5:5" x14ac:dyDescent="0.35">
      <c r="E611" s="28"/>
    </row>
    <row r="612" spans="5:5" x14ac:dyDescent="0.35">
      <c r="E612" s="28"/>
    </row>
    <row r="613" spans="5:5" x14ac:dyDescent="0.35">
      <c r="E613" s="28"/>
    </row>
    <row r="614" spans="5:5" x14ac:dyDescent="0.35">
      <c r="E614" s="28"/>
    </row>
    <row r="615" spans="5:5" x14ac:dyDescent="0.35">
      <c r="E615" s="28"/>
    </row>
    <row r="616" spans="5:5" x14ac:dyDescent="0.35">
      <c r="E616" s="28"/>
    </row>
    <row r="617" spans="5:5" x14ac:dyDescent="0.35">
      <c r="E617" s="28"/>
    </row>
    <row r="618" spans="5:5" x14ac:dyDescent="0.35">
      <c r="E618" s="28"/>
    </row>
    <row r="619" spans="5:5" x14ac:dyDescent="0.35">
      <c r="E619" s="28"/>
    </row>
    <row r="620" spans="5:5" x14ac:dyDescent="0.35">
      <c r="E620" s="28"/>
    </row>
    <row r="621" spans="5:5" x14ac:dyDescent="0.35">
      <c r="E621" s="28"/>
    </row>
    <row r="622" spans="5:5" x14ac:dyDescent="0.35">
      <c r="E622" s="28"/>
    </row>
    <row r="623" spans="5:5" x14ac:dyDescent="0.35">
      <c r="E623" s="28"/>
    </row>
    <row r="624" spans="5:5" x14ac:dyDescent="0.35">
      <c r="E624" s="28"/>
    </row>
    <row r="625" spans="5:5" x14ac:dyDescent="0.35">
      <c r="E625" s="28"/>
    </row>
    <row r="626" spans="5:5" x14ac:dyDescent="0.35">
      <c r="E626" s="28"/>
    </row>
    <row r="627" spans="5:5" x14ac:dyDescent="0.35">
      <c r="E627" s="28"/>
    </row>
    <row r="628" spans="5:5" x14ac:dyDescent="0.35">
      <c r="E628" s="28"/>
    </row>
    <row r="629" spans="5:5" x14ac:dyDescent="0.35">
      <c r="E629" s="28"/>
    </row>
    <row r="630" spans="5:5" x14ac:dyDescent="0.35">
      <c r="E630" s="28"/>
    </row>
    <row r="631" spans="5:5" x14ac:dyDescent="0.35">
      <c r="E631" s="28"/>
    </row>
    <row r="632" spans="5:5" x14ac:dyDescent="0.35">
      <c r="E632" s="28"/>
    </row>
    <row r="633" spans="5:5" x14ac:dyDescent="0.35">
      <c r="E633" s="28"/>
    </row>
    <row r="634" spans="5:5" x14ac:dyDescent="0.35">
      <c r="E634" s="28"/>
    </row>
    <row r="635" spans="5:5" x14ac:dyDescent="0.35">
      <c r="E635" s="28"/>
    </row>
    <row r="636" spans="5:5" x14ac:dyDescent="0.35">
      <c r="E636" s="28"/>
    </row>
    <row r="637" spans="5:5" x14ac:dyDescent="0.35">
      <c r="E637" s="28"/>
    </row>
    <row r="638" spans="5:5" x14ac:dyDescent="0.35">
      <c r="E638" s="28"/>
    </row>
    <row r="639" spans="5:5" x14ac:dyDescent="0.35">
      <c r="E639" s="28"/>
    </row>
    <row r="640" spans="5:5" x14ac:dyDescent="0.35">
      <c r="E640" s="28"/>
    </row>
    <row r="641" spans="5:5" x14ac:dyDescent="0.35">
      <c r="E641" s="28"/>
    </row>
    <row r="642" spans="5:5" x14ac:dyDescent="0.35">
      <c r="E642" s="28"/>
    </row>
    <row r="643" spans="5:5" x14ac:dyDescent="0.35">
      <c r="E643" s="28"/>
    </row>
    <row r="644" spans="5:5" x14ac:dyDescent="0.35">
      <c r="E644" s="28"/>
    </row>
    <row r="645" spans="5:5" x14ac:dyDescent="0.35">
      <c r="E645" s="28"/>
    </row>
    <row r="646" spans="5:5" x14ac:dyDescent="0.35">
      <c r="E646" s="28"/>
    </row>
    <row r="647" spans="5:5" x14ac:dyDescent="0.35">
      <c r="E647" s="28"/>
    </row>
    <row r="648" spans="5:5" x14ac:dyDescent="0.35">
      <c r="E648" s="28"/>
    </row>
    <row r="649" spans="5:5" x14ac:dyDescent="0.35">
      <c r="E649" s="28"/>
    </row>
    <row r="650" spans="5:5" x14ac:dyDescent="0.35">
      <c r="E650" s="28"/>
    </row>
    <row r="651" spans="5:5" x14ac:dyDescent="0.35">
      <c r="E651" s="28"/>
    </row>
    <row r="652" spans="5:5" x14ac:dyDescent="0.35">
      <c r="E652" s="28"/>
    </row>
    <row r="653" spans="5:5" x14ac:dyDescent="0.35">
      <c r="E653" s="28"/>
    </row>
    <row r="654" spans="5:5" x14ac:dyDescent="0.35">
      <c r="E654" s="28"/>
    </row>
    <row r="655" spans="5:5" x14ac:dyDescent="0.35">
      <c r="E655" s="28"/>
    </row>
    <row r="656" spans="5:5" x14ac:dyDescent="0.35">
      <c r="E656" s="28"/>
    </row>
    <row r="657" spans="5:5" x14ac:dyDescent="0.35">
      <c r="E657" s="28"/>
    </row>
    <row r="658" spans="5:5" x14ac:dyDescent="0.35">
      <c r="E658" s="28"/>
    </row>
    <row r="659" spans="5:5" x14ac:dyDescent="0.35">
      <c r="E659" s="28"/>
    </row>
    <row r="660" spans="5:5" x14ac:dyDescent="0.35">
      <c r="E660" s="28"/>
    </row>
    <row r="661" spans="5:5" x14ac:dyDescent="0.35">
      <c r="E661" s="28"/>
    </row>
    <row r="662" spans="5:5" x14ac:dyDescent="0.35">
      <c r="E662" s="28"/>
    </row>
    <row r="663" spans="5:5" x14ac:dyDescent="0.35">
      <c r="E663" s="28"/>
    </row>
    <row r="664" spans="5:5" x14ac:dyDescent="0.35">
      <c r="E664" s="28"/>
    </row>
    <row r="665" spans="5:5" x14ac:dyDescent="0.35">
      <c r="E665" s="28"/>
    </row>
    <row r="666" spans="5:5" x14ac:dyDescent="0.35">
      <c r="E666" s="28"/>
    </row>
    <row r="667" spans="5:5" x14ac:dyDescent="0.35">
      <c r="E667" s="28"/>
    </row>
    <row r="668" spans="5:5" x14ac:dyDescent="0.35">
      <c r="E668" s="28"/>
    </row>
    <row r="669" spans="5:5" x14ac:dyDescent="0.35">
      <c r="E669" s="28"/>
    </row>
    <row r="670" spans="5:5" x14ac:dyDescent="0.35">
      <c r="E670" s="28"/>
    </row>
    <row r="671" spans="5:5" x14ac:dyDescent="0.35">
      <c r="E671" s="28"/>
    </row>
    <row r="672" spans="5:5" x14ac:dyDescent="0.35">
      <c r="E672" s="28"/>
    </row>
    <row r="673" spans="5:5" x14ac:dyDescent="0.35">
      <c r="E673" s="28"/>
    </row>
    <row r="674" spans="5:5" x14ac:dyDescent="0.35">
      <c r="E674" s="28"/>
    </row>
    <row r="675" spans="5:5" x14ac:dyDescent="0.35">
      <c r="E675" s="28"/>
    </row>
    <row r="676" spans="5:5" x14ac:dyDescent="0.35">
      <c r="E676" s="28"/>
    </row>
    <row r="677" spans="5:5" x14ac:dyDescent="0.35">
      <c r="E677" s="28"/>
    </row>
    <row r="678" spans="5:5" x14ac:dyDescent="0.35">
      <c r="E678" s="28"/>
    </row>
    <row r="679" spans="5:5" x14ac:dyDescent="0.35">
      <c r="E679" s="28"/>
    </row>
    <row r="680" spans="5:5" x14ac:dyDescent="0.35">
      <c r="E680" s="28"/>
    </row>
    <row r="681" spans="5:5" x14ac:dyDescent="0.35">
      <c r="E681" s="28"/>
    </row>
    <row r="682" spans="5:5" x14ac:dyDescent="0.35">
      <c r="E682" s="28"/>
    </row>
    <row r="683" spans="5:5" x14ac:dyDescent="0.35">
      <c r="E683" s="28"/>
    </row>
    <row r="684" spans="5:5" x14ac:dyDescent="0.35">
      <c r="E684" s="28"/>
    </row>
    <row r="685" spans="5:5" x14ac:dyDescent="0.35">
      <c r="E685" s="28"/>
    </row>
    <row r="686" spans="5:5" x14ac:dyDescent="0.35">
      <c r="E686" s="28"/>
    </row>
    <row r="687" spans="5:5" x14ac:dyDescent="0.35">
      <c r="E687" s="28"/>
    </row>
    <row r="688" spans="5:5" x14ac:dyDescent="0.35">
      <c r="E688" s="28"/>
    </row>
    <row r="689" spans="5:5" x14ac:dyDescent="0.35">
      <c r="E689" s="28"/>
    </row>
    <row r="690" spans="5:5" x14ac:dyDescent="0.35">
      <c r="E690" s="28"/>
    </row>
    <row r="691" spans="5:5" x14ac:dyDescent="0.35">
      <c r="E691" s="28"/>
    </row>
    <row r="692" spans="5:5" x14ac:dyDescent="0.35">
      <c r="E692" s="28"/>
    </row>
    <row r="693" spans="5:5" x14ac:dyDescent="0.35">
      <c r="E693" s="28"/>
    </row>
    <row r="694" spans="5:5" x14ac:dyDescent="0.35">
      <c r="E694" s="28"/>
    </row>
    <row r="695" spans="5:5" x14ac:dyDescent="0.35">
      <c r="E695" s="28"/>
    </row>
    <row r="696" spans="5:5" x14ac:dyDescent="0.35">
      <c r="E696" s="28"/>
    </row>
    <row r="697" spans="5:5" x14ac:dyDescent="0.35">
      <c r="E697" s="28"/>
    </row>
    <row r="698" spans="5:5" x14ac:dyDescent="0.35">
      <c r="E698" s="28"/>
    </row>
    <row r="699" spans="5:5" x14ac:dyDescent="0.35">
      <c r="E699" s="28"/>
    </row>
    <row r="700" spans="5:5" x14ac:dyDescent="0.35">
      <c r="E700" s="28"/>
    </row>
    <row r="701" spans="5:5" x14ac:dyDescent="0.35">
      <c r="E701" s="28"/>
    </row>
    <row r="702" spans="5:5" x14ac:dyDescent="0.35">
      <c r="E702" s="28"/>
    </row>
    <row r="703" spans="5:5" x14ac:dyDescent="0.35">
      <c r="E703" s="28"/>
    </row>
    <row r="704" spans="5:5" x14ac:dyDescent="0.35">
      <c r="E704" s="28"/>
    </row>
    <row r="705" spans="5:5" x14ac:dyDescent="0.35">
      <c r="E705" s="28"/>
    </row>
    <row r="706" spans="5:5" x14ac:dyDescent="0.35">
      <c r="E706" s="28"/>
    </row>
    <row r="707" spans="5:5" x14ac:dyDescent="0.35">
      <c r="E707" s="28"/>
    </row>
    <row r="708" spans="5:5" x14ac:dyDescent="0.35">
      <c r="E708" s="28"/>
    </row>
    <row r="709" spans="5:5" x14ac:dyDescent="0.35">
      <c r="E709" s="28"/>
    </row>
    <row r="710" spans="5:5" x14ac:dyDescent="0.35">
      <c r="E710" s="28"/>
    </row>
    <row r="711" spans="5:5" x14ac:dyDescent="0.35">
      <c r="E711" s="28"/>
    </row>
    <row r="712" spans="5:5" x14ac:dyDescent="0.35">
      <c r="E712" s="28"/>
    </row>
    <row r="713" spans="5:5" x14ac:dyDescent="0.35">
      <c r="E713" s="28"/>
    </row>
    <row r="714" spans="5:5" x14ac:dyDescent="0.35">
      <c r="E714" s="28"/>
    </row>
    <row r="715" spans="5:5" x14ac:dyDescent="0.35">
      <c r="E715" s="28"/>
    </row>
    <row r="716" spans="5:5" x14ac:dyDescent="0.35">
      <c r="E716" s="28"/>
    </row>
    <row r="717" spans="5:5" x14ac:dyDescent="0.35">
      <c r="E717" s="28"/>
    </row>
    <row r="718" spans="5:5" x14ac:dyDescent="0.35">
      <c r="E718" s="28"/>
    </row>
    <row r="719" spans="5:5" x14ac:dyDescent="0.35">
      <c r="E719" s="28"/>
    </row>
    <row r="720" spans="5:5" x14ac:dyDescent="0.35">
      <c r="E720" s="28"/>
    </row>
    <row r="721" spans="5:5" x14ac:dyDescent="0.35">
      <c r="E721" s="28"/>
    </row>
    <row r="722" spans="5:5" x14ac:dyDescent="0.35">
      <c r="E722" s="28"/>
    </row>
    <row r="723" spans="5:5" x14ac:dyDescent="0.35">
      <c r="E723" s="28"/>
    </row>
    <row r="724" spans="5:5" x14ac:dyDescent="0.35">
      <c r="E724" s="28"/>
    </row>
    <row r="725" spans="5:5" x14ac:dyDescent="0.35">
      <c r="E725" s="28"/>
    </row>
    <row r="726" spans="5:5" x14ac:dyDescent="0.35">
      <c r="E726" s="28"/>
    </row>
    <row r="727" spans="5:5" x14ac:dyDescent="0.35">
      <c r="E727" s="28"/>
    </row>
    <row r="728" spans="5:5" x14ac:dyDescent="0.35">
      <c r="E728" s="28"/>
    </row>
    <row r="729" spans="5:5" x14ac:dyDescent="0.35">
      <c r="E729" s="28"/>
    </row>
    <row r="730" spans="5:5" x14ac:dyDescent="0.35">
      <c r="E730" s="28"/>
    </row>
    <row r="731" spans="5:5" x14ac:dyDescent="0.35">
      <c r="E731" s="28"/>
    </row>
    <row r="732" spans="5:5" x14ac:dyDescent="0.35">
      <c r="E732" s="28"/>
    </row>
    <row r="733" spans="5:5" x14ac:dyDescent="0.35">
      <c r="E733" s="28"/>
    </row>
    <row r="734" spans="5:5" x14ac:dyDescent="0.35">
      <c r="E734" s="28"/>
    </row>
    <row r="735" spans="5:5" x14ac:dyDescent="0.35">
      <c r="E735" s="28"/>
    </row>
    <row r="736" spans="5:5" x14ac:dyDescent="0.35">
      <c r="E736" s="28"/>
    </row>
    <row r="737" spans="5:5" x14ac:dyDescent="0.35">
      <c r="E737" s="28"/>
    </row>
    <row r="738" spans="5:5" x14ac:dyDescent="0.35">
      <c r="E738" s="28"/>
    </row>
    <row r="739" spans="5:5" x14ac:dyDescent="0.35">
      <c r="E739" s="28"/>
    </row>
    <row r="740" spans="5:5" x14ac:dyDescent="0.35">
      <c r="E740" s="28"/>
    </row>
    <row r="741" spans="5:5" x14ac:dyDescent="0.35">
      <c r="E741" s="28"/>
    </row>
    <row r="742" spans="5:5" x14ac:dyDescent="0.35">
      <c r="E742" s="28"/>
    </row>
    <row r="743" spans="5:5" x14ac:dyDescent="0.35">
      <c r="E743" s="28"/>
    </row>
    <row r="744" spans="5:5" x14ac:dyDescent="0.35">
      <c r="E744" s="28"/>
    </row>
    <row r="745" spans="5:5" x14ac:dyDescent="0.35">
      <c r="E745" s="28"/>
    </row>
    <row r="746" spans="5:5" x14ac:dyDescent="0.35">
      <c r="E746" s="28"/>
    </row>
    <row r="747" spans="5:5" x14ac:dyDescent="0.35">
      <c r="E747" s="28"/>
    </row>
    <row r="748" spans="5:5" x14ac:dyDescent="0.35">
      <c r="E748" s="28"/>
    </row>
    <row r="749" spans="5:5" x14ac:dyDescent="0.35">
      <c r="E749" s="28"/>
    </row>
    <row r="750" spans="5:5" x14ac:dyDescent="0.35">
      <c r="E750" s="28"/>
    </row>
    <row r="751" spans="5:5" x14ac:dyDescent="0.35">
      <c r="E751" s="28"/>
    </row>
    <row r="752" spans="5:5" x14ac:dyDescent="0.35">
      <c r="E752" s="28"/>
    </row>
    <row r="753" spans="5:5" x14ac:dyDescent="0.35">
      <c r="E753" s="28"/>
    </row>
    <row r="754" spans="5:5" x14ac:dyDescent="0.35">
      <c r="E754" s="28"/>
    </row>
    <row r="755" spans="5:5" x14ac:dyDescent="0.35">
      <c r="E755" s="28"/>
    </row>
    <row r="756" spans="5:5" x14ac:dyDescent="0.35">
      <c r="E756" s="28"/>
    </row>
    <row r="757" spans="5:5" x14ac:dyDescent="0.35">
      <c r="E757" s="28"/>
    </row>
    <row r="758" spans="5:5" x14ac:dyDescent="0.35">
      <c r="E758" s="28"/>
    </row>
    <row r="759" spans="5:5" x14ac:dyDescent="0.35">
      <c r="E759" s="28"/>
    </row>
    <row r="760" spans="5:5" x14ac:dyDescent="0.35">
      <c r="E760" s="28"/>
    </row>
    <row r="761" spans="5:5" x14ac:dyDescent="0.35">
      <c r="E761" s="28"/>
    </row>
    <row r="762" spans="5:5" x14ac:dyDescent="0.35">
      <c r="E762" s="28"/>
    </row>
    <row r="763" spans="5:5" x14ac:dyDescent="0.35">
      <c r="E763" s="28"/>
    </row>
    <row r="764" spans="5:5" x14ac:dyDescent="0.35">
      <c r="E764" s="28"/>
    </row>
    <row r="765" spans="5:5" x14ac:dyDescent="0.35">
      <c r="E765" s="28"/>
    </row>
    <row r="766" spans="5:5" x14ac:dyDescent="0.35">
      <c r="E766" s="28"/>
    </row>
    <row r="767" spans="5:5" x14ac:dyDescent="0.35">
      <c r="E767" s="28"/>
    </row>
    <row r="768" spans="5:5" x14ac:dyDescent="0.35">
      <c r="E768" s="28"/>
    </row>
    <row r="769" spans="5:5" x14ac:dyDescent="0.35">
      <c r="E769" s="28"/>
    </row>
    <row r="770" spans="5:5" x14ac:dyDescent="0.35">
      <c r="E770" s="28"/>
    </row>
    <row r="771" spans="5:5" x14ac:dyDescent="0.35">
      <c r="E771" s="28"/>
    </row>
    <row r="772" spans="5:5" x14ac:dyDescent="0.35">
      <c r="E772" s="28"/>
    </row>
    <row r="773" spans="5:5" x14ac:dyDescent="0.35">
      <c r="E773" s="28"/>
    </row>
    <row r="774" spans="5:5" x14ac:dyDescent="0.35">
      <c r="E774" s="28"/>
    </row>
    <row r="775" spans="5:5" x14ac:dyDescent="0.35">
      <c r="E775" s="28"/>
    </row>
    <row r="776" spans="5:5" x14ac:dyDescent="0.35">
      <c r="E776" s="28"/>
    </row>
    <row r="777" spans="5:5" x14ac:dyDescent="0.35">
      <c r="E777" s="28"/>
    </row>
    <row r="778" spans="5:5" x14ac:dyDescent="0.35">
      <c r="E778" s="28"/>
    </row>
    <row r="779" spans="5:5" x14ac:dyDescent="0.35">
      <c r="E779" s="28"/>
    </row>
    <row r="780" spans="5:5" x14ac:dyDescent="0.35">
      <c r="E780" s="28"/>
    </row>
  </sheetData>
  <sheetProtection selectLockedCells="1"/>
  <mergeCells count="4">
    <mergeCell ref="A26:F26"/>
    <mergeCell ref="J1:L1"/>
    <mergeCell ref="A14:F14"/>
    <mergeCell ref="A1:H1"/>
  </mergeCells>
  <conditionalFormatting sqref="M2">
    <cfRule type="iconSet" priority="2">
      <iconSet>
        <cfvo type="percent" val="0"/>
        <cfvo type="percent" val="33"/>
        <cfvo type="percent" val="67"/>
      </iconSet>
    </cfRule>
  </conditionalFormatting>
  <conditionalFormatting sqref="M2:M8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1E1C-969C-4BA2-9760-0748B6252D8F}">
  <sheetPr codeName="Sheet10"/>
  <dimension ref="A1:J75"/>
  <sheetViews>
    <sheetView workbookViewId="0">
      <selection activeCell="E2" sqref="E2"/>
    </sheetView>
  </sheetViews>
  <sheetFormatPr defaultColWidth="8.81640625" defaultRowHeight="14.5" x14ac:dyDescent="0.35"/>
  <cols>
    <col min="1" max="1" width="6" style="2" bestFit="1" customWidth="1"/>
    <col min="2" max="2" width="13.08984375" style="2" bestFit="1" customWidth="1"/>
    <col min="3" max="3" width="7.54296875" style="2" bestFit="1" customWidth="1"/>
    <col min="4" max="4" width="18.81640625" style="6" bestFit="1" customWidth="1"/>
    <col min="5" max="5" width="55.81640625" style="8" customWidth="1"/>
    <col min="6" max="6" width="9.90625" style="2" bestFit="1" customWidth="1"/>
    <col min="7" max="7" width="12.453125" style="1" bestFit="1" customWidth="1"/>
    <col min="8" max="8" width="23.1796875" style="1" bestFit="1" customWidth="1"/>
    <col min="9" max="9" width="30" style="1" bestFit="1" customWidth="1"/>
    <col min="10" max="11" width="30" style="1" customWidth="1"/>
    <col min="12" max="12" width="80.90625" style="1" bestFit="1" customWidth="1"/>
    <col min="13" max="13" width="30" style="1" bestFit="1" customWidth="1"/>
    <col min="14" max="18" width="80.90625" style="1" bestFit="1" customWidth="1"/>
    <col min="19" max="19" width="30" style="1" bestFit="1" customWidth="1"/>
    <col min="20" max="20" width="30" style="1" customWidth="1"/>
    <col min="21" max="21" width="80.81640625" style="1" bestFit="1" customWidth="1"/>
    <col min="22" max="23" width="33.1796875" style="1" bestFit="1" customWidth="1"/>
    <col min="24" max="24" width="16.1796875" style="1" bestFit="1" customWidth="1"/>
    <col min="25" max="25" width="31.1796875" style="1" bestFit="1" customWidth="1"/>
    <col min="26" max="26" width="10.81640625" style="1" bestFit="1" customWidth="1"/>
    <col min="27" max="27" width="10.1796875" style="1" bestFit="1" customWidth="1"/>
    <col min="28" max="16384" width="8.81640625" style="1"/>
  </cols>
  <sheetData>
    <row r="1" spans="1:10" x14ac:dyDescent="0.35">
      <c r="A1" s="2" t="s">
        <v>2</v>
      </c>
      <c r="B1" s="2" t="s">
        <v>30</v>
      </c>
      <c r="C1" s="2" t="s">
        <v>228</v>
      </c>
      <c r="D1" s="2" t="s">
        <v>33</v>
      </c>
      <c r="E1" s="1" t="s">
        <v>35</v>
      </c>
      <c r="F1" s="8" t="s">
        <v>32</v>
      </c>
      <c r="G1" s="2" t="s">
        <v>34</v>
      </c>
      <c r="H1" s="1" t="s">
        <v>31</v>
      </c>
      <c r="I1" s="1" t="s">
        <v>36</v>
      </c>
      <c r="J1" s="1" t="s">
        <v>37</v>
      </c>
    </row>
    <row r="2" spans="1:10" x14ac:dyDescent="0.35">
      <c r="A2" s="2">
        <v>1</v>
      </c>
      <c r="B2" s="2" t="s">
        <v>652</v>
      </c>
      <c r="C2" s="2" t="s">
        <v>229</v>
      </c>
      <c r="D2" s="2" t="s">
        <v>222</v>
      </c>
      <c r="E2" s="1" t="s">
        <v>653</v>
      </c>
      <c r="F2" s="8">
        <v>46139.945486111108</v>
      </c>
      <c r="G2" s="2" t="s">
        <v>38</v>
      </c>
      <c r="H2" s="1" t="s">
        <v>39</v>
      </c>
      <c r="I2" s="1" t="s">
        <v>70</v>
      </c>
      <c r="J2" s="1" t="s">
        <v>70</v>
      </c>
    </row>
    <row r="3" spans="1:10" x14ac:dyDescent="0.35">
      <c r="A3" s="2">
        <v>2</v>
      </c>
      <c r="B3" s="2" t="s">
        <v>654</v>
      </c>
      <c r="C3" s="2" t="s">
        <v>659</v>
      </c>
      <c r="D3" s="2" t="s">
        <v>222</v>
      </c>
      <c r="E3" s="1" t="s">
        <v>655</v>
      </c>
      <c r="F3" s="8">
        <v>46135.314247685186</v>
      </c>
      <c r="G3" s="2" t="s">
        <v>38</v>
      </c>
      <c r="H3" s="1" t="s">
        <v>43</v>
      </c>
      <c r="I3" s="1" t="s">
        <v>43</v>
      </c>
      <c r="J3" s="1" t="s">
        <v>53</v>
      </c>
    </row>
    <row r="4" spans="1:10" x14ac:dyDescent="0.35">
      <c r="A4" s="2">
        <v>3</v>
      </c>
      <c r="B4" s="2" t="s">
        <v>656</v>
      </c>
      <c r="C4" s="2" t="s">
        <v>232</v>
      </c>
      <c r="D4" s="2" t="s">
        <v>222</v>
      </c>
      <c r="E4" s="1" t="s">
        <v>657</v>
      </c>
      <c r="F4" s="8">
        <v>46134.473645833335</v>
      </c>
      <c r="G4" s="2" t="s">
        <v>45</v>
      </c>
      <c r="H4" s="1" t="s">
        <v>39</v>
      </c>
      <c r="I4" s="1" t="s">
        <v>658</v>
      </c>
      <c r="J4" s="1" t="s">
        <v>658</v>
      </c>
    </row>
    <row r="5" spans="1:10" x14ac:dyDescent="0.35">
      <c r="A5" s="2">
        <v>4</v>
      </c>
      <c r="B5" s="2" t="s">
        <v>488</v>
      </c>
      <c r="C5" s="2" t="s">
        <v>660</v>
      </c>
      <c r="D5" s="2" t="s">
        <v>222</v>
      </c>
      <c r="E5" s="1" t="s">
        <v>489</v>
      </c>
      <c r="F5" s="8">
        <v>46133.429479166669</v>
      </c>
      <c r="G5" s="2" t="s">
        <v>38</v>
      </c>
      <c r="H5" s="1" t="s">
        <v>39</v>
      </c>
      <c r="I5" s="1" t="s">
        <v>490</v>
      </c>
      <c r="J5" s="1" t="s">
        <v>490</v>
      </c>
    </row>
    <row r="6" spans="1:10" x14ac:dyDescent="0.35">
      <c r="A6" s="2">
        <v>5</v>
      </c>
      <c r="B6" s="2" t="s">
        <v>491</v>
      </c>
      <c r="C6" s="2" t="s">
        <v>661</v>
      </c>
      <c r="D6" s="2" t="s">
        <v>222</v>
      </c>
      <c r="E6" s="1" t="s">
        <v>492</v>
      </c>
      <c r="F6" s="8">
        <v>46133.36273148148</v>
      </c>
      <c r="G6" s="2" t="s">
        <v>38</v>
      </c>
      <c r="H6" s="1" t="s">
        <v>43</v>
      </c>
      <c r="I6" s="1" t="s">
        <v>43</v>
      </c>
      <c r="J6" s="1" t="s">
        <v>53</v>
      </c>
    </row>
    <row r="7" spans="1:10" x14ac:dyDescent="0.35">
      <c r="A7" s="2">
        <v>6</v>
      </c>
      <c r="B7" s="2" t="s">
        <v>493</v>
      </c>
      <c r="C7" s="2" t="s">
        <v>494</v>
      </c>
      <c r="D7" s="2" t="s">
        <v>222</v>
      </c>
      <c r="E7" s="1" t="s">
        <v>495</v>
      </c>
      <c r="F7" s="8">
        <v>46120.488611111112</v>
      </c>
      <c r="G7" s="2" t="s">
        <v>38</v>
      </c>
      <c r="H7" s="1" t="s">
        <v>40</v>
      </c>
      <c r="I7" s="1" t="s">
        <v>47</v>
      </c>
      <c r="J7" s="1" t="s">
        <v>47</v>
      </c>
    </row>
    <row r="8" spans="1:10" x14ac:dyDescent="0.35">
      <c r="A8" s="2">
        <v>7</v>
      </c>
      <c r="B8" s="2" t="s">
        <v>496</v>
      </c>
      <c r="C8" s="2" t="s">
        <v>497</v>
      </c>
      <c r="D8" s="2" t="s">
        <v>222</v>
      </c>
      <c r="E8" s="1" t="s">
        <v>498</v>
      </c>
      <c r="F8" s="8">
        <v>46120.330497685187</v>
      </c>
      <c r="G8" s="2" t="s">
        <v>38</v>
      </c>
      <c r="H8" s="1" t="s">
        <v>39</v>
      </c>
      <c r="I8" s="1" t="s">
        <v>221</v>
      </c>
      <c r="J8" s="1" t="s">
        <v>221</v>
      </c>
    </row>
    <row r="9" spans="1:10" x14ac:dyDescent="0.35">
      <c r="A9" s="2">
        <v>8</v>
      </c>
      <c r="B9" s="2" t="s">
        <v>482</v>
      </c>
      <c r="C9" s="2" t="s">
        <v>483</v>
      </c>
      <c r="D9" s="2" t="s">
        <v>222</v>
      </c>
      <c r="E9" s="1" t="s">
        <v>484</v>
      </c>
      <c r="F9" s="8">
        <v>46112.451666666668</v>
      </c>
      <c r="G9" s="2" t="s">
        <v>38</v>
      </c>
      <c r="H9" s="1" t="s">
        <v>39</v>
      </c>
      <c r="I9" s="1" t="s">
        <v>42</v>
      </c>
      <c r="J9" s="1" t="s">
        <v>42</v>
      </c>
    </row>
    <row r="10" spans="1:10" x14ac:dyDescent="0.35">
      <c r="A10" s="2">
        <v>9</v>
      </c>
      <c r="B10" s="2" t="s">
        <v>486</v>
      </c>
      <c r="C10" s="2" t="s">
        <v>497</v>
      </c>
      <c r="D10" s="2" t="s">
        <v>222</v>
      </c>
      <c r="E10" s="1" t="s">
        <v>487</v>
      </c>
      <c r="F10" s="8">
        <v>46111.676527777781</v>
      </c>
      <c r="G10" s="2" t="s">
        <v>45</v>
      </c>
      <c r="H10" s="1" t="s">
        <v>40</v>
      </c>
      <c r="I10" s="1" t="s">
        <v>47</v>
      </c>
      <c r="J10" s="1" t="s">
        <v>47</v>
      </c>
    </row>
    <row r="11" spans="1:10" x14ac:dyDescent="0.35">
      <c r="A11" s="2">
        <v>10</v>
      </c>
      <c r="B11" s="2" t="s">
        <v>478</v>
      </c>
      <c r="C11" s="2" t="s">
        <v>499</v>
      </c>
      <c r="D11" s="2" t="s">
        <v>222</v>
      </c>
      <c r="E11" s="1" t="s">
        <v>479</v>
      </c>
      <c r="F11" s="8">
        <v>46111.478726851848</v>
      </c>
      <c r="G11" s="2" t="s">
        <v>38</v>
      </c>
      <c r="H11" s="1" t="s">
        <v>43</v>
      </c>
      <c r="I11" s="1" t="s">
        <v>51</v>
      </c>
      <c r="J11" s="1" t="s">
        <v>126</v>
      </c>
    </row>
    <row r="12" spans="1:10" x14ac:dyDescent="0.35">
      <c r="A12" s="2">
        <v>11</v>
      </c>
      <c r="B12" s="2" t="s">
        <v>480</v>
      </c>
      <c r="C12" s="2" t="s">
        <v>497</v>
      </c>
      <c r="D12" s="2" t="s">
        <v>222</v>
      </c>
      <c r="E12" s="1" t="s">
        <v>481</v>
      </c>
      <c r="F12" s="8">
        <v>46111.454328703701</v>
      </c>
      <c r="G12" s="2" t="s">
        <v>38</v>
      </c>
      <c r="H12" s="1" t="s">
        <v>39</v>
      </c>
      <c r="I12" s="1" t="s">
        <v>68</v>
      </c>
      <c r="J12" s="1" t="s">
        <v>68</v>
      </c>
    </row>
    <row r="13" spans="1:10" x14ac:dyDescent="0.35">
      <c r="A13" s="2">
        <v>12</v>
      </c>
      <c r="B13" s="2" t="s">
        <v>437</v>
      </c>
      <c r="C13" s="2" t="s">
        <v>662</v>
      </c>
      <c r="D13" s="2" t="s">
        <v>222</v>
      </c>
      <c r="E13" s="1" t="s">
        <v>438</v>
      </c>
      <c r="F13" s="8">
        <v>46100.589039351849</v>
      </c>
      <c r="G13" s="2" t="s">
        <v>38</v>
      </c>
      <c r="H13" s="1" t="s">
        <v>39</v>
      </c>
      <c r="I13" s="1" t="s">
        <v>210</v>
      </c>
      <c r="J13" s="1" t="s">
        <v>210</v>
      </c>
    </row>
    <row r="14" spans="1:10" x14ac:dyDescent="0.35">
      <c r="A14" s="2">
        <v>13</v>
      </c>
      <c r="B14" s="2" t="s">
        <v>48</v>
      </c>
      <c r="C14" s="2" t="s">
        <v>229</v>
      </c>
      <c r="D14" s="2" t="s">
        <v>222</v>
      </c>
      <c r="E14" s="1" t="s">
        <v>49</v>
      </c>
      <c r="F14" s="8">
        <v>46073.478796296295</v>
      </c>
      <c r="G14" s="2" t="s">
        <v>38</v>
      </c>
      <c r="H14" s="1" t="s">
        <v>39</v>
      </c>
      <c r="I14" s="1" t="s">
        <v>50</v>
      </c>
      <c r="J14" s="1" t="s">
        <v>50</v>
      </c>
    </row>
    <row r="15" spans="1:10" x14ac:dyDescent="0.35">
      <c r="A15" s="2">
        <v>14</v>
      </c>
      <c r="B15" s="2" t="s">
        <v>57</v>
      </c>
      <c r="C15" s="2" t="s">
        <v>230</v>
      </c>
      <c r="D15" s="2" t="s">
        <v>58</v>
      </c>
      <c r="E15" s="1" t="s">
        <v>59</v>
      </c>
      <c r="F15" s="8">
        <v>46062.740960648145</v>
      </c>
      <c r="G15" s="2" t="s">
        <v>38</v>
      </c>
      <c r="H15" s="1" t="s">
        <v>43</v>
      </c>
      <c r="I15" s="1" t="s">
        <v>47</v>
      </c>
      <c r="J15" s="1" t="s">
        <v>47</v>
      </c>
    </row>
    <row r="16" spans="1:10" x14ac:dyDescent="0.35">
      <c r="A16" s="2">
        <v>15</v>
      </c>
      <c r="B16" s="2" t="s">
        <v>60</v>
      </c>
      <c r="C16" s="2" t="s">
        <v>231</v>
      </c>
      <c r="D16" s="2" t="s">
        <v>61</v>
      </c>
      <c r="E16" s="1" t="s">
        <v>62</v>
      </c>
      <c r="F16" s="8">
        <v>46051.618888888886</v>
      </c>
      <c r="G16" s="2" t="s">
        <v>38</v>
      </c>
      <c r="H16" s="1" t="s">
        <v>40</v>
      </c>
      <c r="I16" s="1" t="s">
        <v>47</v>
      </c>
      <c r="J16" s="1" t="s">
        <v>47</v>
      </c>
    </row>
    <row r="17" spans="1:10" x14ac:dyDescent="0.35">
      <c r="A17" s="2">
        <v>16</v>
      </c>
      <c r="B17" s="2" t="s">
        <v>66</v>
      </c>
      <c r="C17" s="2" t="s">
        <v>232</v>
      </c>
      <c r="D17" s="2" t="s">
        <v>222</v>
      </c>
      <c r="E17" s="1" t="s">
        <v>67</v>
      </c>
      <c r="F17" s="8">
        <v>46042.339768518519</v>
      </c>
      <c r="G17" s="2" t="s">
        <v>45</v>
      </c>
      <c r="H17" s="1" t="s">
        <v>39</v>
      </c>
      <c r="I17" s="1" t="s">
        <v>68</v>
      </c>
      <c r="J17" s="1" t="s">
        <v>68</v>
      </c>
    </row>
    <row r="18" spans="1:10" x14ac:dyDescent="0.35">
      <c r="A18" s="2">
        <v>17</v>
      </c>
      <c r="B18" s="2" t="s">
        <v>71</v>
      </c>
      <c r="C18" s="2" t="s">
        <v>233</v>
      </c>
      <c r="D18" s="2" t="s">
        <v>222</v>
      </c>
      <c r="E18" s="1" t="s">
        <v>72</v>
      </c>
      <c r="F18" s="8">
        <v>46021.433206018519</v>
      </c>
      <c r="G18" s="2" t="s">
        <v>38</v>
      </c>
      <c r="H18" s="1" t="s">
        <v>39</v>
      </c>
      <c r="I18" s="1" t="s">
        <v>39</v>
      </c>
      <c r="J18" s="1" t="s">
        <v>53</v>
      </c>
    </row>
    <row r="19" spans="1:10" x14ac:dyDescent="0.35">
      <c r="A19" s="2">
        <v>18</v>
      </c>
      <c r="B19" s="2" t="s">
        <v>75</v>
      </c>
      <c r="C19" s="2" t="s">
        <v>234</v>
      </c>
      <c r="D19" s="2" t="s">
        <v>222</v>
      </c>
      <c r="E19" s="1" t="s">
        <v>76</v>
      </c>
      <c r="F19" s="8">
        <v>45996.677499999998</v>
      </c>
      <c r="G19" s="2" t="s">
        <v>38</v>
      </c>
      <c r="H19" s="1" t="s">
        <v>40</v>
      </c>
      <c r="I19" s="1" t="s">
        <v>47</v>
      </c>
      <c r="J19" s="1" t="s">
        <v>47</v>
      </c>
    </row>
    <row r="20" spans="1:10" x14ac:dyDescent="0.35">
      <c r="A20" s="2">
        <v>19</v>
      </c>
      <c r="B20" s="2" t="s">
        <v>77</v>
      </c>
      <c r="C20" s="2" t="s">
        <v>235</v>
      </c>
      <c r="D20" s="2" t="s">
        <v>78</v>
      </c>
      <c r="E20" s="1" t="s">
        <v>79</v>
      </c>
      <c r="F20" s="8">
        <v>45994.824814814812</v>
      </c>
      <c r="G20" s="2" t="s">
        <v>38</v>
      </c>
      <c r="H20" s="1" t="s">
        <v>40</v>
      </c>
      <c r="I20" s="1" t="s">
        <v>47</v>
      </c>
      <c r="J20" s="1" t="s">
        <v>47</v>
      </c>
    </row>
    <row r="21" spans="1:10" x14ac:dyDescent="0.35">
      <c r="A21" s="2">
        <v>20</v>
      </c>
      <c r="B21" s="2" t="s">
        <v>80</v>
      </c>
      <c r="C21" s="2" t="s">
        <v>236</v>
      </c>
      <c r="D21" s="2" t="s">
        <v>222</v>
      </c>
      <c r="E21" s="1" t="s">
        <v>81</v>
      </c>
      <c r="F21" s="8">
        <v>45994.334629629629</v>
      </c>
      <c r="G21" s="2" t="s">
        <v>38</v>
      </c>
      <c r="H21" s="1" t="s">
        <v>39</v>
      </c>
      <c r="I21" s="1" t="s">
        <v>39</v>
      </c>
      <c r="J21" s="1" t="s">
        <v>53</v>
      </c>
    </row>
    <row r="22" spans="1:10" x14ac:dyDescent="0.35">
      <c r="A22" s="2">
        <v>21</v>
      </c>
      <c r="B22" s="2" t="s">
        <v>82</v>
      </c>
      <c r="C22" s="2" t="s">
        <v>237</v>
      </c>
      <c r="D22" s="2" t="s">
        <v>222</v>
      </c>
      <c r="E22" s="1" t="s">
        <v>83</v>
      </c>
      <c r="F22" s="8">
        <v>45994.316111111111</v>
      </c>
      <c r="G22" s="2" t="s">
        <v>38</v>
      </c>
      <c r="H22" s="1" t="s">
        <v>43</v>
      </c>
      <c r="I22" s="1" t="s">
        <v>39</v>
      </c>
      <c r="J22" s="1" t="s">
        <v>53</v>
      </c>
    </row>
    <row r="23" spans="1:10" x14ac:dyDescent="0.35">
      <c r="A23" s="2">
        <v>22</v>
      </c>
      <c r="B23" s="2" t="s">
        <v>84</v>
      </c>
      <c r="C23" s="2" t="s">
        <v>238</v>
      </c>
      <c r="D23" s="2" t="s">
        <v>222</v>
      </c>
      <c r="E23" s="1" t="s">
        <v>85</v>
      </c>
      <c r="F23" s="8">
        <v>45988.660856481481</v>
      </c>
      <c r="G23" s="2" t="s">
        <v>38</v>
      </c>
      <c r="H23" s="1" t="s">
        <v>39</v>
      </c>
      <c r="I23" s="1" t="s">
        <v>64</v>
      </c>
      <c r="J23" s="1" t="s">
        <v>64</v>
      </c>
    </row>
    <row r="24" spans="1:10" x14ac:dyDescent="0.35">
      <c r="A24" s="2">
        <v>23</v>
      </c>
      <c r="B24" s="2" t="s">
        <v>88</v>
      </c>
      <c r="C24" s="2" t="s">
        <v>239</v>
      </c>
      <c r="D24" s="2" t="s">
        <v>222</v>
      </c>
      <c r="E24" s="1" t="s">
        <v>89</v>
      </c>
      <c r="F24" s="8">
        <v>45957.41265046296</v>
      </c>
      <c r="G24" s="2" t="s">
        <v>38</v>
      </c>
      <c r="H24" s="1" t="s">
        <v>39</v>
      </c>
      <c r="I24" s="1" t="s">
        <v>64</v>
      </c>
      <c r="J24" s="1" t="s">
        <v>64</v>
      </c>
    </row>
    <row r="25" spans="1:10" x14ac:dyDescent="0.35">
      <c r="A25" s="2">
        <v>24</v>
      </c>
      <c r="B25" s="2" t="s">
        <v>91</v>
      </c>
      <c r="C25" s="2" t="s">
        <v>240</v>
      </c>
      <c r="D25" s="2" t="s">
        <v>222</v>
      </c>
      <c r="E25" s="1" t="s">
        <v>92</v>
      </c>
      <c r="F25" s="8">
        <v>45954.417280092595</v>
      </c>
      <c r="G25" s="2" t="s">
        <v>38</v>
      </c>
      <c r="H25" s="1" t="s">
        <v>39</v>
      </c>
      <c r="I25" s="1" t="s">
        <v>56</v>
      </c>
      <c r="J25" s="1" t="s">
        <v>56</v>
      </c>
    </row>
    <row r="26" spans="1:10" x14ac:dyDescent="0.35">
      <c r="A26" s="2">
        <v>25</v>
      </c>
      <c r="B26" s="2" t="s">
        <v>93</v>
      </c>
      <c r="C26" s="2" t="s">
        <v>241</v>
      </c>
      <c r="D26" s="2" t="s">
        <v>222</v>
      </c>
      <c r="E26" s="1" t="s">
        <v>94</v>
      </c>
      <c r="F26" s="8">
        <v>45954.395462962966</v>
      </c>
      <c r="G26" s="2" t="s">
        <v>38</v>
      </c>
      <c r="H26" s="1" t="s">
        <v>39</v>
      </c>
      <c r="I26" s="1" t="s">
        <v>51</v>
      </c>
      <c r="J26" s="1" t="s">
        <v>63</v>
      </c>
    </row>
    <row r="27" spans="1:10" x14ac:dyDescent="0.35">
      <c r="A27" s="2">
        <v>26</v>
      </c>
      <c r="B27" s="2" t="s">
        <v>95</v>
      </c>
      <c r="C27" s="2" t="s">
        <v>242</v>
      </c>
      <c r="D27" s="2" t="s">
        <v>222</v>
      </c>
      <c r="E27" s="1" t="s">
        <v>96</v>
      </c>
      <c r="F27" s="8">
        <v>45945.329606481479</v>
      </c>
      <c r="G27" s="2" t="s">
        <v>38</v>
      </c>
      <c r="H27" s="1" t="s">
        <v>39</v>
      </c>
      <c r="I27" s="1" t="s">
        <v>50</v>
      </c>
      <c r="J27" s="1" t="s">
        <v>50</v>
      </c>
    </row>
    <row r="28" spans="1:10" x14ac:dyDescent="0.35">
      <c r="A28" s="2">
        <v>27</v>
      </c>
      <c r="B28" s="2" t="s">
        <v>99</v>
      </c>
      <c r="C28" s="2" t="s">
        <v>239</v>
      </c>
      <c r="D28" s="2" t="s">
        <v>100</v>
      </c>
      <c r="E28" s="1" t="s">
        <v>101</v>
      </c>
      <c r="F28" s="8">
        <v>45926.338576388887</v>
      </c>
      <c r="G28" s="2" t="s">
        <v>38</v>
      </c>
      <c r="H28" s="1" t="s">
        <v>39</v>
      </c>
      <c r="I28" s="1" t="s">
        <v>63</v>
      </c>
      <c r="J28" s="1" t="s">
        <v>63</v>
      </c>
    </row>
    <row r="29" spans="1:10" x14ac:dyDescent="0.35">
      <c r="A29" s="2">
        <v>28</v>
      </c>
      <c r="B29" s="2" t="s">
        <v>102</v>
      </c>
      <c r="C29" s="2" t="s">
        <v>485</v>
      </c>
      <c r="D29" s="2" t="s">
        <v>103</v>
      </c>
      <c r="E29" s="1" t="s">
        <v>104</v>
      </c>
      <c r="F29" s="8">
        <v>45924.66101851852</v>
      </c>
      <c r="G29" s="2" t="s">
        <v>38</v>
      </c>
      <c r="H29" s="1" t="s">
        <v>43</v>
      </c>
      <c r="I29" s="1" t="s">
        <v>105</v>
      </c>
      <c r="J29" s="1" t="s">
        <v>105</v>
      </c>
    </row>
    <row r="30" spans="1:10" x14ac:dyDescent="0.35">
      <c r="A30" s="2">
        <v>29</v>
      </c>
      <c r="B30" s="2" t="s">
        <v>106</v>
      </c>
      <c r="C30" s="2" t="s">
        <v>243</v>
      </c>
      <c r="D30" s="2" t="s">
        <v>107</v>
      </c>
      <c r="E30" s="1" t="s">
        <v>108</v>
      </c>
      <c r="F30" s="8">
        <v>45924.355011574073</v>
      </c>
      <c r="G30" s="2" t="s">
        <v>38</v>
      </c>
      <c r="H30" s="1" t="s">
        <v>39</v>
      </c>
      <c r="I30" s="1" t="s">
        <v>56</v>
      </c>
      <c r="J30" s="1" t="s">
        <v>56</v>
      </c>
    </row>
    <row r="31" spans="1:10" x14ac:dyDescent="0.35">
      <c r="A31" s="2">
        <v>30</v>
      </c>
      <c r="B31" s="2" t="s">
        <v>109</v>
      </c>
      <c r="C31" s="2" t="s">
        <v>244</v>
      </c>
      <c r="D31" s="2" t="s">
        <v>222</v>
      </c>
      <c r="E31" s="1" t="s">
        <v>110</v>
      </c>
      <c r="F31" s="8">
        <v>45919.390497685185</v>
      </c>
      <c r="G31" s="2" t="s">
        <v>45</v>
      </c>
      <c r="H31" s="1" t="s">
        <v>39</v>
      </c>
      <c r="I31" s="1" t="s">
        <v>65</v>
      </c>
      <c r="J31" s="1" t="s">
        <v>65</v>
      </c>
    </row>
    <row r="32" spans="1:10" x14ac:dyDescent="0.35">
      <c r="A32" s="2">
        <v>31</v>
      </c>
      <c r="B32" s="2" t="s">
        <v>113</v>
      </c>
      <c r="C32" s="2" t="s">
        <v>245</v>
      </c>
      <c r="D32" s="2" t="s">
        <v>114</v>
      </c>
      <c r="E32" s="1" t="s">
        <v>115</v>
      </c>
      <c r="F32" s="8">
        <v>45905.519490740742</v>
      </c>
      <c r="G32" s="2" t="s">
        <v>38</v>
      </c>
      <c r="H32" s="1" t="s">
        <v>39</v>
      </c>
      <c r="I32" s="1" t="s">
        <v>105</v>
      </c>
      <c r="J32" s="1" t="s">
        <v>105</v>
      </c>
    </row>
    <row r="33" spans="1:10" x14ac:dyDescent="0.35">
      <c r="A33" s="2">
        <v>32</v>
      </c>
      <c r="B33" s="2" t="s">
        <v>111</v>
      </c>
      <c r="C33" s="2" t="s">
        <v>244</v>
      </c>
      <c r="D33" s="2" t="s">
        <v>222</v>
      </c>
      <c r="E33" s="1" t="s">
        <v>116</v>
      </c>
      <c r="F33" s="8">
        <v>45903.425358796296</v>
      </c>
      <c r="G33" s="2" t="s">
        <v>38</v>
      </c>
      <c r="H33" s="1" t="s">
        <v>43</v>
      </c>
      <c r="I33" s="1" t="s">
        <v>51</v>
      </c>
      <c r="J33" s="1" t="s">
        <v>54</v>
      </c>
    </row>
    <row r="34" spans="1:10" x14ac:dyDescent="0.35">
      <c r="A34" s="2">
        <v>33</v>
      </c>
      <c r="B34" s="2" t="s">
        <v>117</v>
      </c>
      <c r="C34" s="2" t="s">
        <v>246</v>
      </c>
      <c r="D34" s="2" t="s">
        <v>222</v>
      </c>
      <c r="E34" s="1" t="s">
        <v>118</v>
      </c>
      <c r="F34" s="8">
        <v>45897.692245370374</v>
      </c>
      <c r="G34" s="2" t="s">
        <v>38</v>
      </c>
      <c r="H34" s="1" t="s">
        <v>43</v>
      </c>
      <c r="I34" s="1" t="s">
        <v>112</v>
      </c>
      <c r="J34" s="1" t="s">
        <v>112</v>
      </c>
    </row>
    <row r="35" spans="1:10" x14ac:dyDescent="0.35">
      <c r="A35" s="2">
        <v>34</v>
      </c>
      <c r="B35" s="2" t="s">
        <v>120</v>
      </c>
      <c r="C35" s="2" t="s">
        <v>232</v>
      </c>
      <c r="D35" s="2" t="s">
        <v>222</v>
      </c>
      <c r="E35" s="1" t="s">
        <v>121</v>
      </c>
      <c r="F35" s="8">
        <v>45883.321655092594</v>
      </c>
      <c r="G35" s="2" t="s">
        <v>38</v>
      </c>
      <c r="H35" s="1" t="s">
        <v>43</v>
      </c>
      <c r="I35" s="1" t="s">
        <v>46</v>
      </c>
      <c r="J35" s="1" t="s">
        <v>46</v>
      </c>
    </row>
    <row r="36" spans="1:10" x14ac:dyDescent="0.35">
      <c r="A36" s="2">
        <v>35</v>
      </c>
      <c r="B36" s="2" t="s">
        <v>122</v>
      </c>
      <c r="C36" s="2" t="s">
        <v>229</v>
      </c>
      <c r="D36" s="2" t="s">
        <v>222</v>
      </c>
      <c r="E36" s="1" t="s">
        <v>123</v>
      </c>
      <c r="F36" s="8">
        <v>45874.204722222225</v>
      </c>
      <c r="G36" s="2" t="s">
        <v>38</v>
      </c>
      <c r="H36" s="1" t="s">
        <v>39</v>
      </c>
      <c r="I36" s="1" t="s">
        <v>46</v>
      </c>
      <c r="J36" s="1" t="s">
        <v>46</v>
      </c>
    </row>
    <row r="37" spans="1:10" x14ac:dyDescent="0.35">
      <c r="A37" s="2">
        <v>36</v>
      </c>
      <c r="B37" s="2" t="s">
        <v>124</v>
      </c>
      <c r="C37" s="2" t="s">
        <v>229</v>
      </c>
      <c r="D37" s="2" t="s">
        <v>222</v>
      </c>
      <c r="E37" s="1" t="s">
        <v>125</v>
      </c>
      <c r="F37" s="8">
        <v>45867.796134259261</v>
      </c>
      <c r="G37" s="2" t="s">
        <v>38</v>
      </c>
      <c r="H37" s="1" t="s">
        <v>40</v>
      </c>
      <c r="I37" s="1" t="s">
        <v>47</v>
      </c>
      <c r="J37" s="1" t="s">
        <v>47</v>
      </c>
    </row>
    <row r="38" spans="1:10" x14ac:dyDescent="0.35">
      <c r="A38" s="2">
        <v>37</v>
      </c>
      <c r="B38" s="2" t="s">
        <v>128</v>
      </c>
      <c r="C38" s="2" t="s">
        <v>247</v>
      </c>
      <c r="D38" s="2" t="s">
        <v>129</v>
      </c>
      <c r="E38" s="1" t="s">
        <v>130</v>
      </c>
      <c r="F38" s="8">
        <v>45833.412685185183</v>
      </c>
      <c r="G38" s="2" t="s">
        <v>38</v>
      </c>
      <c r="H38" s="1" t="s">
        <v>43</v>
      </c>
      <c r="I38" s="1" t="s">
        <v>74</v>
      </c>
      <c r="J38" s="1" t="s">
        <v>74</v>
      </c>
    </row>
    <row r="39" spans="1:10" x14ac:dyDescent="0.35">
      <c r="A39" s="2">
        <v>38</v>
      </c>
      <c r="B39" s="2" t="s">
        <v>131</v>
      </c>
      <c r="C39" s="2" t="s">
        <v>248</v>
      </c>
      <c r="D39" s="2" t="s">
        <v>222</v>
      </c>
      <c r="E39" s="1" t="s">
        <v>132</v>
      </c>
      <c r="F39" s="8">
        <v>45831.64025462963</v>
      </c>
      <c r="G39" s="2" t="s">
        <v>38</v>
      </c>
      <c r="H39" s="1" t="s">
        <v>40</v>
      </c>
      <c r="I39" s="1" t="s">
        <v>68</v>
      </c>
      <c r="J39" s="1" t="s">
        <v>68</v>
      </c>
    </row>
    <row r="40" spans="1:10" x14ac:dyDescent="0.35">
      <c r="A40" s="2">
        <v>39</v>
      </c>
      <c r="B40" s="2" t="s">
        <v>133</v>
      </c>
      <c r="C40" s="2" t="s">
        <v>249</v>
      </c>
      <c r="D40" s="2" t="s">
        <v>222</v>
      </c>
      <c r="E40" s="1" t="s">
        <v>134</v>
      </c>
      <c r="F40" s="8">
        <v>45826.38559027778</v>
      </c>
      <c r="G40" s="2" t="s">
        <v>38</v>
      </c>
      <c r="H40" s="1" t="s">
        <v>43</v>
      </c>
      <c r="I40" s="1" t="s">
        <v>68</v>
      </c>
      <c r="J40" s="1" t="s">
        <v>68</v>
      </c>
    </row>
    <row r="41" spans="1:10" x14ac:dyDescent="0.35">
      <c r="A41" s="2">
        <v>40</v>
      </c>
      <c r="B41" s="2" t="s">
        <v>135</v>
      </c>
      <c r="C41" s="2" t="s">
        <v>250</v>
      </c>
      <c r="D41" s="2" t="s">
        <v>136</v>
      </c>
      <c r="E41" s="1" t="s">
        <v>137</v>
      </c>
      <c r="F41" s="8">
        <v>45799.515509259261</v>
      </c>
      <c r="G41" s="2" t="s">
        <v>38</v>
      </c>
      <c r="H41" s="1" t="s">
        <v>43</v>
      </c>
      <c r="I41" s="1" t="s">
        <v>138</v>
      </c>
      <c r="J41" s="1" t="s">
        <v>138</v>
      </c>
    </row>
    <row r="42" spans="1:10" x14ac:dyDescent="0.35">
      <c r="A42" s="2">
        <v>41</v>
      </c>
      <c r="B42" s="2" t="s">
        <v>139</v>
      </c>
      <c r="C42" s="2" t="s">
        <v>251</v>
      </c>
      <c r="D42" s="2" t="s">
        <v>222</v>
      </c>
      <c r="E42" s="1" t="s">
        <v>140</v>
      </c>
      <c r="F42" s="8">
        <v>45797.429085648146</v>
      </c>
      <c r="G42" s="2" t="s">
        <v>38</v>
      </c>
      <c r="H42" s="1" t="s">
        <v>43</v>
      </c>
      <c r="I42" s="1" t="s">
        <v>141</v>
      </c>
      <c r="J42" s="1" t="s">
        <v>141</v>
      </c>
    </row>
    <row r="43" spans="1:10" x14ac:dyDescent="0.35">
      <c r="A43" s="2">
        <v>42</v>
      </c>
      <c r="B43" s="2" t="s">
        <v>142</v>
      </c>
      <c r="C43" s="2" t="s">
        <v>252</v>
      </c>
      <c r="D43" s="2" t="s">
        <v>222</v>
      </c>
      <c r="E43" s="1" t="s">
        <v>143</v>
      </c>
      <c r="F43" s="8">
        <v>45797.393425925926</v>
      </c>
      <c r="G43" s="2" t="s">
        <v>38</v>
      </c>
      <c r="H43" s="1" t="s">
        <v>43</v>
      </c>
      <c r="I43" s="1" t="s">
        <v>97</v>
      </c>
      <c r="J43" s="1" t="s">
        <v>97</v>
      </c>
    </row>
    <row r="44" spans="1:10" x14ac:dyDescent="0.35">
      <c r="A44" s="2">
        <v>43</v>
      </c>
      <c r="B44" s="2" t="s">
        <v>144</v>
      </c>
      <c r="C44" s="2" t="s">
        <v>253</v>
      </c>
      <c r="D44" s="2" t="s">
        <v>145</v>
      </c>
      <c r="E44" s="1" t="s">
        <v>146</v>
      </c>
      <c r="F44" s="8">
        <v>45797.371030092589</v>
      </c>
      <c r="G44" s="2" t="s">
        <v>38</v>
      </c>
      <c r="H44" s="1" t="s">
        <v>39</v>
      </c>
      <c r="I44" s="1" t="s">
        <v>39</v>
      </c>
      <c r="J44" s="1" t="s">
        <v>47</v>
      </c>
    </row>
    <row r="45" spans="1:10" x14ac:dyDescent="0.35">
      <c r="A45" s="2">
        <v>44</v>
      </c>
      <c r="B45" s="2" t="s">
        <v>147</v>
      </c>
      <c r="C45" s="2" t="s">
        <v>254</v>
      </c>
      <c r="D45" s="2" t="s">
        <v>222</v>
      </c>
      <c r="E45" s="1" t="s">
        <v>148</v>
      </c>
      <c r="F45" s="8">
        <v>45796.626655092594</v>
      </c>
      <c r="G45" s="2" t="s">
        <v>38</v>
      </c>
      <c r="H45" s="1" t="s">
        <v>39</v>
      </c>
      <c r="I45" s="1" t="s">
        <v>86</v>
      </c>
      <c r="J45" s="1" t="s">
        <v>86</v>
      </c>
    </row>
    <row r="46" spans="1:10" x14ac:dyDescent="0.35">
      <c r="A46" s="2">
        <v>45</v>
      </c>
      <c r="B46" s="2" t="s">
        <v>149</v>
      </c>
      <c r="C46" s="2" t="s">
        <v>255</v>
      </c>
      <c r="D46" s="2" t="s">
        <v>150</v>
      </c>
      <c r="E46" s="1" t="s">
        <v>151</v>
      </c>
      <c r="F46" s="8">
        <v>45793.651620370372</v>
      </c>
      <c r="G46" s="2" t="s">
        <v>38</v>
      </c>
      <c r="H46" s="1" t="s">
        <v>39</v>
      </c>
      <c r="I46" s="1" t="s">
        <v>39</v>
      </c>
      <c r="J46" s="1" t="s">
        <v>47</v>
      </c>
    </row>
    <row r="47" spans="1:10" x14ac:dyDescent="0.35">
      <c r="A47" s="2">
        <v>46</v>
      </c>
      <c r="B47" s="2" t="s">
        <v>152</v>
      </c>
      <c r="C47" s="2" t="s">
        <v>256</v>
      </c>
      <c r="D47" s="2" t="s">
        <v>153</v>
      </c>
      <c r="E47" s="1" t="s">
        <v>154</v>
      </c>
      <c r="F47" s="8">
        <v>45789.594826388886</v>
      </c>
      <c r="G47" s="2" t="s">
        <v>38</v>
      </c>
      <c r="H47" s="1" t="s">
        <v>40</v>
      </c>
      <c r="I47" s="1" t="s">
        <v>155</v>
      </c>
      <c r="J47" s="1" t="s">
        <v>155</v>
      </c>
    </row>
    <row r="48" spans="1:10" x14ac:dyDescent="0.35">
      <c r="A48" s="2">
        <v>47</v>
      </c>
      <c r="B48" s="2" t="s">
        <v>156</v>
      </c>
      <c r="C48" s="2" t="s">
        <v>257</v>
      </c>
      <c r="D48" s="2" t="s">
        <v>157</v>
      </c>
      <c r="E48" s="1" t="s">
        <v>158</v>
      </c>
      <c r="F48" s="8">
        <v>45789.362291666665</v>
      </c>
      <c r="G48" s="2" t="s">
        <v>38</v>
      </c>
      <c r="H48" s="1" t="s">
        <v>40</v>
      </c>
      <c r="I48" s="1" t="s">
        <v>74</v>
      </c>
      <c r="J48" s="1" t="s">
        <v>74</v>
      </c>
    </row>
    <row r="49" spans="1:10" x14ac:dyDescent="0.35">
      <c r="A49" s="2">
        <v>48</v>
      </c>
      <c r="B49" s="2" t="s">
        <v>159</v>
      </c>
      <c r="C49" s="2" t="s">
        <v>258</v>
      </c>
      <c r="D49" s="2" t="s">
        <v>160</v>
      </c>
      <c r="E49" s="1" t="s">
        <v>161</v>
      </c>
      <c r="F49" s="8">
        <v>45782.460127314815</v>
      </c>
      <c r="G49" s="2" t="s">
        <v>38</v>
      </c>
      <c r="H49" s="1" t="s">
        <v>40</v>
      </c>
      <c r="I49" s="1" t="s">
        <v>86</v>
      </c>
      <c r="J49" s="1" t="s">
        <v>86</v>
      </c>
    </row>
    <row r="50" spans="1:10" x14ac:dyDescent="0.35">
      <c r="A50" s="2">
        <v>49</v>
      </c>
      <c r="B50" s="2" t="s">
        <v>162</v>
      </c>
      <c r="C50" s="2" t="s">
        <v>259</v>
      </c>
      <c r="D50" s="2" t="s">
        <v>222</v>
      </c>
      <c r="E50" s="1" t="s">
        <v>163</v>
      </c>
      <c r="F50" s="8">
        <v>45770.610972222225</v>
      </c>
      <c r="G50" s="2" t="s">
        <v>38</v>
      </c>
      <c r="H50" s="1" t="s">
        <v>40</v>
      </c>
      <c r="I50" s="1" t="s">
        <v>141</v>
      </c>
      <c r="J50" s="1" t="s">
        <v>141</v>
      </c>
    </row>
    <row r="51" spans="1:10" x14ac:dyDescent="0.35">
      <c r="A51" s="2">
        <v>50</v>
      </c>
      <c r="B51" s="2" t="s">
        <v>164</v>
      </c>
      <c r="C51" s="2" t="s">
        <v>260</v>
      </c>
      <c r="D51" s="2" t="s">
        <v>222</v>
      </c>
      <c r="E51" s="1" t="s">
        <v>165</v>
      </c>
      <c r="F51" s="8">
        <v>45763.889317129629</v>
      </c>
      <c r="G51" s="2" t="s">
        <v>38</v>
      </c>
      <c r="H51" s="1" t="s">
        <v>40</v>
      </c>
      <c r="I51" s="1" t="s">
        <v>47</v>
      </c>
      <c r="J51" s="1" t="s">
        <v>47</v>
      </c>
    </row>
    <row r="52" spans="1:10" x14ac:dyDescent="0.35">
      <c r="A52" s="2">
        <v>51</v>
      </c>
      <c r="B52" s="2" t="s">
        <v>166</v>
      </c>
      <c r="C52" s="2" t="s">
        <v>261</v>
      </c>
      <c r="D52" s="2" t="s">
        <v>222</v>
      </c>
      <c r="E52" s="1" t="s">
        <v>167</v>
      </c>
      <c r="F52" s="8">
        <v>45750.422037037039</v>
      </c>
      <c r="G52" s="2" t="s">
        <v>38</v>
      </c>
      <c r="H52" s="1" t="s">
        <v>40</v>
      </c>
      <c r="I52" s="1" t="s">
        <v>86</v>
      </c>
      <c r="J52" s="1" t="s">
        <v>86</v>
      </c>
    </row>
    <row r="53" spans="1:10" x14ac:dyDescent="0.35">
      <c r="A53" s="2">
        <v>52</v>
      </c>
      <c r="B53" s="2" t="s">
        <v>69</v>
      </c>
      <c r="C53" s="2" t="s">
        <v>232</v>
      </c>
      <c r="D53" s="2" t="s">
        <v>222</v>
      </c>
      <c r="E53" s="1" t="s">
        <v>168</v>
      </c>
      <c r="F53" s="8">
        <v>45748.396180555559</v>
      </c>
      <c r="G53" s="2" t="s">
        <v>38</v>
      </c>
      <c r="H53" s="1" t="s">
        <v>39</v>
      </c>
      <c r="I53" s="1" t="s">
        <v>98</v>
      </c>
      <c r="J53" s="1" t="s">
        <v>98</v>
      </c>
    </row>
    <row r="54" spans="1:10" x14ac:dyDescent="0.35">
      <c r="A54" s="2">
        <v>53</v>
      </c>
      <c r="B54" s="2" t="s">
        <v>169</v>
      </c>
      <c r="C54" s="2" t="s">
        <v>262</v>
      </c>
      <c r="D54" s="2" t="s">
        <v>222</v>
      </c>
      <c r="E54" s="1" t="s">
        <v>170</v>
      </c>
      <c r="F54" s="8">
        <v>45743.647037037037</v>
      </c>
      <c r="G54" s="2" t="s">
        <v>38</v>
      </c>
      <c r="H54" s="1" t="s">
        <v>43</v>
      </c>
      <c r="I54" s="1" t="s">
        <v>47</v>
      </c>
      <c r="J54" s="1" t="s">
        <v>47</v>
      </c>
    </row>
    <row r="55" spans="1:10" x14ac:dyDescent="0.35">
      <c r="A55" s="2">
        <v>54</v>
      </c>
      <c r="B55" s="2" t="s">
        <v>171</v>
      </c>
      <c r="C55" s="2" t="s">
        <v>263</v>
      </c>
      <c r="D55" s="2" t="s">
        <v>222</v>
      </c>
      <c r="E55" s="1" t="s">
        <v>172</v>
      </c>
      <c r="F55" s="8">
        <v>45735.435312499998</v>
      </c>
      <c r="G55" s="2" t="s">
        <v>38</v>
      </c>
      <c r="H55" s="1" t="s">
        <v>40</v>
      </c>
      <c r="I55" s="1" t="s">
        <v>173</v>
      </c>
      <c r="J55" s="1" t="s">
        <v>173</v>
      </c>
    </row>
    <row r="56" spans="1:10" x14ac:dyDescent="0.35">
      <c r="A56" s="2">
        <v>55</v>
      </c>
      <c r="B56" s="2" t="s">
        <v>174</v>
      </c>
      <c r="C56" s="2" t="s">
        <v>264</v>
      </c>
      <c r="D56" s="2" t="s">
        <v>175</v>
      </c>
      <c r="E56" s="1" t="s">
        <v>176</v>
      </c>
      <c r="F56" s="8">
        <v>45733.61681712963</v>
      </c>
      <c r="G56" s="2" t="s">
        <v>38</v>
      </c>
      <c r="H56" s="1" t="s">
        <v>43</v>
      </c>
      <c r="I56" s="1" t="s">
        <v>74</v>
      </c>
      <c r="J56" s="1" t="s">
        <v>74</v>
      </c>
    </row>
    <row r="57" spans="1:10" x14ac:dyDescent="0.35">
      <c r="A57" s="2">
        <v>56</v>
      </c>
      <c r="B57" s="2" t="s">
        <v>177</v>
      </c>
      <c r="C57" s="2" t="s">
        <v>265</v>
      </c>
      <c r="D57" s="2" t="s">
        <v>222</v>
      </c>
      <c r="E57" s="1" t="s">
        <v>178</v>
      </c>
      <c r="F57" s="8">
        <v>45720.33525462963</v>
      </c>
      <c r="G57" s="2" t="s">
        <v>38</v>
      </c>
      <c r="H57" s="1" t="s">
        <v>43</v>
      </c>
      <c r="I57" s="1" t="s">
        <v>56</v>
      </c>
      <c r="J57" s="1" t="s">
        <v>56</v>
      </c>
    </row>
    <row r="58" spans="1:10" x14ac:dyDescent="0.35">
      <c r="A58" s="2">
        <v>57</v>
      </c>
      <c r="B58" s="2" t="s">
        <v>179</v>
      </c>
      <c r="C58" s="2" t="s">
        <v>266</v>
      </c>
      <c r="D58" s="2" t="s">
        <v>222</v>
      </c>
      <c r="E58" s="1" t="s">
        <v>180</v>
      </c>
      <c r="F58" s="8">
        <v>45716.445289351854</v>
      </c>
      <c r="G58" s="2" t="s">
        <v>38</v>
      </c>
      <c r="H58" s="1" t="s">
        <v>40</v>
      </c>
      <c r="I58" s="1" t="s">
        <v>74</v>
      </c>
      <c r="J58" s="1" t="s">
        <v>74</v>
      </c>
    </row>
    <row r="59" spans="1:10" x14ac:dyDescent="0.35">
      <c r="A59" s="2">
        <v>58</v>
      </c>
      <c r="B59" s="2" t="s">
        <v>181</v>
      </c>
      <c r="C59" s="2" t="s">
        <v>267</v>
      </c>
      <c r="D59" s="2" t="s">
        <v>222</v>
      </c>
      <c r="E59" s="1" t="s">
        <v>182</v>
      </c>
      <c r="F59" s="8">
        <v>45714.881585648145</v>
      </c>
      <c r="G59" s="2" t="s">
        <v>38</v>
      </c>
      <c r="H59" s="1" t="s">
        <v>43</v>
      </c>
      <c r="I59" s="1" t="s">
        <v>47</v>
      </c>
      <c r="J59" s="1" t="s">
        <v>47</v>
      </c>
    </row>
    <row r="60" spans="1:10" x14ac:dyDescent="0.35">
      <c r="A60" s="2">
        <v>59</v>
      </c>
      <c r="B60" s="2" t="s">
        <v>183</v>
      </c>
      <c r="C60" s="2" t="s">
        <v>268</v>
      </c>
      <c r="D60" s="2" t="s">
        <v>222</v>
      </c>
      <c r="E60" s="1" t="s">
        <v>184</v>
      </c>
      <c r="F60" s="8">
        <v>45713.407037037039</v>
      </c>
      <c r="G60" s="2" t="s">
        <v>38</v>
      </c>
      <c r="H60" s="1" t="s">
        <v>43</v>
      </c>
      <c r="I60" s="1" t="s">
        <v>185</v>
      </c>
      <c r="J60" s="1" t="s">
        <v>185</v>
      </c>
    </row>
    <row r="61" spans="1:10" x14ac:dyDescent="0.35">
      <c r="A61" s="2">
        <v>60</v>
      </c>
      <c r="B61" s="2" t="s">
        <v>186</v>
      </c>
      <c r="C61" s="2" t="s">
        <v>269</v>
      </c>
      <c r="D61" s="2" t="s">
        <v>222</v>
      </c>
      <c r="E61" s="1" t="s">
        <v>187</v>
      </c>
      <c r="F61" s="8">
        <v>45702.416562500002</v>
      </c>
      <c r="G61" s="2" t="s">
        <v>38</v>
      </c>
      <c r="H61" s="1" t="s">
        <v>40</v>
      </c>
      <c r="I61" s="1" t="s">
        <v>119</v>
      </c>
      <c r="J61" s="1" t="s">
        <v>119</v>
      </c>
    </row>
    <row r="62" spans="1:10" x14ac:dyDescent="0.35">
      <c r="A62" s="2">
        <v>61</v>
      </c>
      <c r="B62" s="2" t="s">
        <v>188</v>
      </c>
      <c r="C62" s="2" t="s">
        <v>268</v>
      </c>
      <c r="D62" s="2" t="s">
        <v>222</v>
      </c>
      <c r="E62" s="1" t="s">
        <v>189</v>
      </c>
      <c r="F62" s="8">
        <v>45701.622604166667</v>
      </c>
      <c r="G62" s="2" t="s">
        <v>38</v>
      </c>
      <c r="H62" s="1" t="s">
        <v>40</v>
      </c>
      <c r="I62" s="1" t="s">
        <v>47</v>
      </c>
      <c r="J62" s="1" t="s">
        <v>47</v>
      </c>
    </row>
    <row r="63" spans="1:10" x14ac:dyDescent="0.35">
      <c r="A63" s="2">
        <v>62</v>
      </c>
      <c r="B63" s="2" t="s">
        <v>190</v>
      </c>
      <c r="C63" s="2" t="s">
        <v>269</v>
      </c>
      <c r="D63" s="2" t="s">
        <v>222</v>
      </c>
      <c r="E63" s="1" t="s">
        <v>191</v>
      </c>
      <c r="F63" s="8">
        <v>45700.569444444445</v>
      </c>
      <c r="G63" s="2" t="s">
        <v>38</v>
      </c>
      <c r="H63" s="1" t="s">
        <v>40</v>
      </c>
      <c r="I63" s="1" t="s">
        <v>40</v>
      </c>
      <c r="J63" s="1" t="s">
        <v>53</v>
      </c>
    </row>
    <row r="64" spans="1:10" x14ac:dyDescent="0.35">
      <c r="A64" s="2">
        <v>63</v>
      </c>
      <c r="B64" s="2" t="s">
        <v>192</v>
      </c>
      <c r="C64" s="2" t="s">
        <v>270</v>
      </c>
      <c r="D64" s="2" t="s">
        <v>222</v>
      </c>
      <c r="E64" s="1" t="s">
        <v>193</v>
      </c>
      <c r="F64" s="8">
        <v>45699.071087962962</v>
      </c>
      <c r="G64" s="2" t="s">
        <v>38</v>
      </c>
      <c r="H64" s="1" t="s">
        <v>43</v>
      </c>
      <c r="I64" s="1" t="s">
        <v>56</v>
      </c>
      <c r="J64" s="1" t="s">
        <v>56</v>
      </c>
    </row>
    <row r="65" spans="1:10" x14ac:dyDescent="0.35">
      <c r="A65" s="2">
        <v>64</v>
      </c>
      <c r="B65" s="2" t="s">
        <v>194</v>
      </c>
      <c r="C65" s="2" t="s">
        <v>268</v>
      </c>
      <c r="D65" s="2" t="s">
        <v>222</v>
      </c>
      <c r="E65" s="1" t="s">
        <v>195</v>
      </c>
      <c r="F65" s="8">
        <v>45695.365844907406</v>
      </c>
      <c r="G65" s="2" t="s">
        <v>38</v>
      </c>
      <c r="H65" s="1" t="s">
        <v>43</v>
      </c>
      <c r="I65" s="1" t="s">
        <v>51</v>
      </c>
      <c r="J65" s="1" t="s">
        <v>185</v>
      </c>
    </row>
    <row r="66" spans="1:10" x14ac:dyDescent="0.35">
      <c r="A66" s="2">
        <v>65</v>
      </c>
      <c r="B66" s="2" t="s">
        <v>196</v>
      </c>
      <c r="C66" s="2" t="s">
        <v>271</v>
      </c>
      <c r="D66" s="2" t="s">
        <v>222</v>
      </c>
      <c r="E66" s="1" t="s">
        <v>197</v>
      </c>
      <c r="F66" s="8">
        <v>45693.533668981479</v>
      </c>
      <c r="G66" s="2" t="s">
        <v>38</v>
      </c>
      <c r="H66" s="1" t="s">
        <v>43</v>
      </c>
      <c r="I66" s="1" t="s">
        <v>52</v>
      </c>
      <c r="J66" s="1" t="s">
        <v>52</v>
      </c>
    </row>
    <row r="67" spans="1:10" x14ac:dyDescent="0.35">
      <c r="A67" s="2">
        <v>66</v>
      </c>
      <c r="B67" s="2" t="s">
        <v>198</v>
      </c>
      <c r="C67" s="2" t="s">
        <v>270</v>
      </c>
      <c r="D67" s="2" t="s">
        <v>222</v>
      </c>
      <c r="E67" s="1" t="s">
        <v>199</v>
      </c>
      <c r="F67" s="8">
        <v>45692.414675925917</v>
      </c>
      <c r="G67" s="2" t="s">
        <v>38</v>
      </c>
      <c r="H67" s="1" t="s">
        <v>53</v>
      </c>
      <c r="I67" s="1" t="s">
        <v>43</v>
      </c>
      <c r="J67" s="1" t="s">
        <v>200</v>
      </c>
    </row>
    <row r="68" spans="1:10" x14ac:dyDescent="0.35">
      <c r="A68" s="2">
        <v>67</v>
      </c>
      <c r="B68" s="2" t="s">
        <v>201</v>
      </c>
      <c r="C68" s="2" t="s">
        <v>268</v>
      </c>
      <c r="D68" s="2" t="s">
        <v>222</v>
      </c>
      <c r="E68" s="1" t="s">
        <v>202</v>
      </c>
      <c r="F68" s="8">
        <v>45678.348090277781</v>
      </c>
      <c r="G68" s="2" t="s">
        <v>38</v>
      </c>
      <c r="H68" s="1" t="s">
        <v>43</v>
      </c>
      <c r="I68" s="1" t="s">
        <v>68</v>
      </c>
      <c r="J68" s="1" t="s">
        <v>203</v>
      </c>
    </row>
    <row r="69" spans="1:10" x14ac:dyDescent="0.35">
      <c r="A69" s="2">
        <v>68</v>
      </c>
      <c r="B69" s="2" t="s">
        <v>204</v>
      </c>
      <c r="C69" s="2" t="s">
        <v>272</v>
      </c>
      <c r="D69" s="2" t="s">
        <v>222</v>
      </c>
      <c r="E69" s="1" t="s">
        <v>205</v>
      </c>
      <c r="F69" s="8">
        <v>45665.478518518517</v>
      </c>
      <c r="G69" s="2" t="s">
        <v>38</v>
      </c>
      <c r="H69" s="1" t="s">
        <v>43</v>
      </c>
      <c r="I69" s="1" t="s">
        <v>51</v>
      </c>
      <c r="J69" s="1" t="s">
        <v>65</v>
      </c>
    </row>
    <row r="70" spans="1:10" x14ac:dyDescent="0.35">
      <c r="A70" s="2">
        <v>69</v>
      </c>
      <c r="B70" s="2" t="s">
        <v>206</v>
      </c>
      <c r="C70" s="2" t="s">
        <v>260</v>
      </c>
      <c r="D70" s="2" t="s">
        <v>222</v>
      </c>
      <c r="E70" s="1" t="s">
        <v>207</v>
      </c>
      <c r="F70" s="8">
        <v>45664.019282407411</v>
      </c>
      <c r="G70" s="2" t="s">
        <v>38</v>
      </c>
      <c r="H70" s="1" t="s">
        <v>43</v>
      </c>
      <c r="I70" s="1" t="s">
        <v>56</v>
      </c>
      <c r="J70" s="1" t="s">
        <v>56</v>
      </c>
    </row>
    <row r="71" spans="1:10" x14ac:dyDescent="0.35">
      <c r="A71" s="2">
        <v>70</v>
      </c>
      <c r="B71" s="2" t="s">
        <v>208</v>
      </c>
      <c r="C71" s="2" t="s">
        <v>273</v>
      </c>
      <c r="D71" s="2" t="s">
        <v>222</v>
      </c>
      <c r="E71" s="1" t="s">
        <v>209</v>
      </c>
      <c r="F71" s="8">
        <v>45642.071898148148</v>
      </c>
      <c r="G71" s="2" t="s">
        <v>38</v>
      </c>
      <c r="H71" s="1" t="s">
        <v>43</v>
      </c>
      <c r="I71" s="1" t="s">
        <v>87</v>
      </c>
      <c r="J71" s="1" t="s">
        <v>87</v>
      </c>
    </row>
    <row r="72" spans="1:10" x14ac:dyDescent="0.35">
      <c r="A72" s="2">
        <v>71</v>
      </c>
      <c r="B72" s="2" t="s">
        <v>211</v>
      </c>
      <c r="C72" s="2" t="s">
        <v>274</v>
      </c>
      <c r="D72" s="2" t="s">
        <v>222</v>
      </c>
      <c r="E72" s="1" t="s">
        <v>212</v>
      </c>
      <c r="F72" s="8">
        <v>45624.498726851853</v>
      </c>
      <c r="G72" s="2" t="s">
        <v>38</v>
      </c>
      <c r="H72" s="1" t="s">
        <v>40</v>
      </c>
      <c r="I72" s="1" t="s">
        <v>74</v>
      </c>
      <c r="J72" s="1" t="s">
        <v>74</v>
      </c>
    </row>
    <row r="73" spans="1:10" x14ac:dyDescent="0.35">
      <c r="A73" s="2">
        <v>72</v>
      </c>
      <c r="B73" s="2" t="s">
        <v>213</v>
      </c>
      <c r="C73" s="2" t="s">
        <v>275</v>
      </c>
      <c r="D73" s="2" t="s">
        <v>222</v>
      </c>
      <c r="E73" s="1" t="s">
        <v>214</v>
      </c>
      <c r="F73" s="8">
        <v>45624.495347222219</v>
      </c>
      <c r="G73" s="2" t="s">
        <v>38</v>
      </c>
      <c r="H73" s="1" t="s">
        <v>40</v>
      </c>
      <c r="I73" s="1" t="s">
        <v>41</v>
      </c>
      <c r="J73" s="1" t="s">
        <v>215</v>
      </c>
    </row>
    <row r="74" spans="1:10" x14ac:dyDescent="0.35">
      <c r="A74" s="2">
        <v>73</v>
      </c>
      <c r="B74" s="2" t="s">
        <v>216</v>
      </c>
      <c r="C74" s="2" t="s">
        <v>276</v>
      </c>
      <c r="D74" s="2" t="s">
        <v>222</v>
      </c>
      <c r="E74" s="1" t="s">
        <v>217</v>
      </c>
      <c r="F74" s="8">
        <v>45622.328645833331</v>
      </c>
      <c r="G74" s="2" t="s">
        <v>38</v>
      </c>
      <c r="H74" s="1" t="s">
        <v>43</v>
      </c>
      <c r="I74" s="1" t="s">
        <v>65</v>
      </c>
      <c r="J74" s="1" t="s">
        <v>65</v>
      </c>
    </row>
    <row r="75" spans="1:10" x14ac:dyDescent="0.35">
      <c r="A75" s="2">
        <v>74</v>
      </c>
      <c r="B75" s="2" t="s">
        <v>218</v>
      </c>
      <c r="C75" s="2" t="s">
        <v>272</v>
      </c>
      <c r="D75" s="2" t="s">
        <v>222</v>
      </c>
      <c r="E75" s="1" t="s">
        <v>219</v>
      </c>
      <c r="F75" s="8">
        <v>45621.354398148149</v>
      </c>
      <c r="G75" s="2" t="s">
        <v>38</v>
      </c>
      <c r="H75" s="1" t="s">
        <v>43</v>
      </c>
      <c r="I75" s="1" t="s">
        <v>126</v>
      </c>
      <c r="J75" s="1" t="s">
        <v>126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1657-E97A-4FAB-95B9-6D9E8F9DD68C}">
  <sheetPr codeName="Sheet12"/>
  <dimension ref="A1:A7"/>
  <sheetViews>
    <sheetView workbookViewId="0">
      <selection activeCell="F12" sqref="F12"/>
    </sheetView>
  </sheetViews>
  <sheetFormatPr defaultColWidth="8.81640625" defaultRowHeight="14.5" x14ac:dyDescent="0.35"/>
  <cols>
    <col min="1" max="1" width="20.54296875" style="7" bestFit="1" customWidth="1"/>
    <col min="2" max="16384" width="8.81640625" style="7"/>
  </cols>
  <sheetData>
    <row r="1" spans="1:1" x14ac:dyDescent="0.35">
      <c r="A1" s="2" t="s">
        <v>425</v>
      </c>
    </row>
    <row r="2" spans="1:1" x14ac:dyDescent="0.35">
      <c r="A2" s="4" t="s">
        <v>24</v>
      </c>
    </row>
    <row r="3" spans="1:1" x14ac:dyDescent="0.35">
      <c r="A3" s="4" t="s">
        <v>25</v>
      </c>
    </row>
    <row r="4" spans="1:1" x14ac:dyDescent="0.35">
      <c r="A4" s="4" t="s">
        <v>26</v>
      </c>
    </row>
    <row r="5" spans="1:1" x14ac:dyDescent="0.35">
      <c r="A5" s="4" t="s">
        <v>27</v>
      </c>
    </row>
    <row r="6" spans="1:1" x14ac:dyDescent="0.35">
      <c r="A6" s="4" t="s">
        <v>28</v>
      </c>
    </row>
    <row r="7" spans="1:1" x14ac:dyDescent="0.35">
      <c r="A7" s="5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54C0-56E4-413B-A3DC-FD3224BC420A}">
  <dimension ref="A1:H744"/>
  <sheetViews>
    <sheetView tabSelected="1" workbookViewId="0">
      <selection activeCell="B15" sqref="B15"/>
    </sheetView>
  </sheetViews>
  <sheetFormatPr defaultRowHeight="14.5" x14ac:dyDescent="0.35"/>
  <cols>
    <col min="1" max="1" width="80.7265625" bestFit="1" customWidth="1"/>
    <col min="2" max="2" width="42.1796875" bestFit="1" customWidth="1"/>
    <col min="3" max="3" width="43.7265625" bestFit="1" customWidth="1"/>
    <col min="4" max="4" width="18.6328125" bestFit="1" customWidth="1"/>
    <col min="5" max="5" width="12.81640625" bestFit="1" customWidth="1"/>
    <col min="6" max="6" width="8.6328125" bestFit="1" customWidth="1"/>
    <col min="7" max="7" width="41.7265625" bestFit="1" customWidth="1"/>
    <col min="8" max="8" width="17.08984375" bestFit="1" customWidth="1"/>
  </cols>
  <sheetData>
    <row r="1" spans="1:8" x14ac:dyDescent="0.35">
      <c r="A1" t="s">
        <v>15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</row>
    <row r="2" spans="1:8" x14ac:dyDescent="0.35">
      <c r="A2" s="34" t="s">
        <v>878</v>
      </c>
      <c r="B2" s="34" t="s">
        <v>324</v>
      </c>
      <c r="C2" s="34" t="s">
        <v>325</v>
      </c>
      <c r="D2" s="29">
        <v>46174.673090277778</v>
      </c>
      <c r="E2" s="34" t="s">
        <v>287</v>
      </c>
      <c r="F2" t="b">
        <v>1</v>
      </c>
      <c r="G2" s="34" t="s">
        <v>288</v>
      </c>
      <c r="H2" t="b">
        <v>0</v>
      </c>
    </row>
    <row r="3" spans="1:8" x14ac:dyDescent="0.35">
      <c r="A3" s="34" t="s">
        <v>879</v>
      </c>
      <c r="B3" s="34" t="s">
        <v>336</v>
      </c>
      <c r="C3" s="34" t="s">
        <v>337</v>
      </c>
      <c r="D3" s="29">
        <v>46174.665659722225</v>
      </c>
      <c r="E3" s="34" t="s">
        <v>287</v>
      </c>
      <c r="F3" t="b">
        <v>1</v>
      </c>
      <c r="G3" s="34" t="s">
        <v>511</v>
      </c>
      <c r="H3" t="b">
        <v>0</v>
      </c>
    </row>
    <row r="4" spans="1:8" x14ac:dyDescent="0.35">
      <c r="A4" s="34" t="s">
        <v>880</v>
      </c>
      <c r="B4" s="34" t="s">
        <v>285</v>
      </c>
      <c r="C4" s="34" t="s">
        <v>286</v>
      </c>
      <c r="D4" s="29">
        <v>46174.649340277778</v>
      </c>
      <c r="E4" s="34" t="s">
        <v>287</v>
      </c>
      <c r="F4" t="b">
        <v>1</v>
      </c>
      <c r="G4" s="34" t="s">
        <v>511</v>
      </c>
      <c r="H4" t="b">
        <v>0</v>
      </c>
    </row>
    <row r="5" spans="1:8" x14ac:dyDescent="0.35">
      <c r="A5" s="34" t="s">
        <v>555</v>
      </c>
      <c r="B5" s="34" t="s">
        <v>881</v>
      </c>
      <c r="C5" s="34" t="s">
        <v>882</v>
      </c>
      <c r="D5" s="29">
        <v>46174.637592592589</v>
      </c>
      <c r="E5" s="34" t="s">
        <v>287</v>
      </c>
      <c r="F5" t="b">
        <v>1</v>
      </c>
      <c r="G5" s="34" t="s">
        <v>288</v>
      </c>
      <c r="H5" t="b">
        <v>1</v>
      </c>
    </row>
    <row r="6" spans="1:8" x14ac:dyDescent="0.35">
      <c r="A6" s="34" t="s">
        <v>555</v>
      </c>
      <c r="B6" s="34" t="s">
        <v>546</v>
      </c>
      <c r="C6" s="34" t="s">
        <v>435</v>
      </c>
      <c r="D6" s="29">
        <v>46174.632604166669</v>
      </c>
      <c r="E6" s="34" t="s">
        <v>287</v>
      </c>
      <c r="F6" t="b">
        <v>1</v>
      </c>
      <c r="G6" s="34" t="s">
        <v>73</v>
      </c>
      <c r="H6" t="b">
        <v>1</v>
      </c>
    </row>
    <row r="7" spans="1:8" x14ac:dyDescent="0.35">
      <c r="A7" s="34" t="s">
        <v>870</v>
      </c>
      <c r="B7" s="34" t="s">
        <v>294</v>
      </c>
      <c r="C7" s="34" t="s">
        <v>295</v>
      </c>
      <c r="D7" s="29">
        <v>46174.620787037034</v>
      </c>
      <c r="E7" s="34" t="s">
        <v>287</v>
      </c>
      <c r="F7" t="b">
        <v>1</v>
      </c>
      <c r="G7" s="34" t="s">
        <v>222</v>
      </c>
      <c r="H7" t="b">
        <v>0</v>
      </c>
    </row>
    <row r="8" spans="1:8" x14ac:dyDescent="0.35">
      <c r="A8" s="34" t="s">
        <v>871</v>
      </c>
      <c r="B8" s="34" t="s">
        <v>294</v>
      </c>
      <c r="C8" s="34" t="s">
        <v>295</v>
      </c>
      <c r="D8" s="29">
        <v>46174.541481481479</v>
      </c>
      <c r="E8" s="34" t="s">
        <v>287</v>
      </c>
      <c r="F8" t="b">
        <v>1</v>
      </c>
      <c r="G8" s="34" t="s">
        <v>296</v>
      </c>
      <c r="H8" t="b">
        <v>0</v>
      </c>
    </row>
    <row r="9" spans="1:8" x14ac:dyDescent="0.35">
      <c r="A9" s="34" t="s">
        <v>872</v>
      </c>
      <c r="B9" s="34" t="s">
        <v>336</v>
      </c>
      <c r="C9" s="34" t="s">
        <v>337</v>
      </c>
      <c r="D9" s="29">
        <v>46174.41196759259</v>
      </c>
      <c r="E9" s="34" t="s">
        <v>287</v>
      </c>
      <c r="F9" t="b">
        <v>1</v>
      </c>
      <c r="G9" s="34" t="s">
        <v>511</v>
      </c>
      <c r="H9" t="b">
        <v>0</v>
      </c>
    </row>
    <row r="10" spans="1:8" x14ac:dyDescent="0.35">
      <c r="A10" s="34" t="s">
        <v>873</v>
      </c>
      <c r="B10" s="34" t="s">
        <v>285</v>
      </c>
      <c r="C10" s="34" t="s">
        <v>286</v>
      </c>
      <c r="D10" s="29">
        <v>46174.285740740743</v>
      </c>
      <c r="E10" s="34" t="s">
        <v>287</v>
      </c>
      <c r="F10" t="b">
        <v>1</v>
      </c>
      <c r="G10" s="34" t="s">
        <v>288</v>
      </c>
      <c r="H10" t="b">
        <v>0</v>
      </c>
    </row>
    <row r="11" spans="1:8" x14ac:dyDescent="0.35">
      <c r="A11" s="34" t="s">
        <v>873</v>
      </c>
      <c r="B11" s="34" t="s">
        <v>398</v>
      </c>
      <c r="C11" s="34" t="s">
        <v>399</v>
      </c>
      <c r="D11" s="29">
        <v>46174.281759259262</v>
      </c>
      <c r="E11" s="34" t="s">
        <v>287</v>
      </c>
      <c r="F11" t="b">
        <v>1</v>
      </c>
      <c r="G11" s="34" t="s">
        <v>288</v>
      </c>
      <c r="H11" t="b">
        <v>0</v>
      </c>
    </row>
    <row r="12" spans="1:8" x14ac:dyDescent="0.35">
      <c r="A12" s="34" t="s">
        <v>874</v>
      </c>
      <c r="B12" s="34" t="s">
        <v>324</v>
      </c>
      <c r="C12" s="34" t="s">
        <v>325</v>
      </c>
      <c r="D12" s="29">
        <v>46174.281319444446</v>
      </c>
      <c r="E12" s="34" t="s">
        <v>287</v>
      </c>
      <c r="F12" t="b">
        <v>1</v>
      </c>
      <c r="G12" s="34" t="s">
        <v>288</v>
      </c>
      <c r="H12" t="b">
        <v>0</v>
      </c>
    </row>
    <row r="13" spans="1:8" x14ac:dyDescent="0.35">
      <c r="A13" s="34" t="s">
        <v>299</v>
      </c>
      <c r="B13" s="34" t="s">
        <v>300</v>
      </c>
      <c r="C13" s="34" t="s">
        <v>301</v>
      </c>
      <c r="D13" s="29">
        <v>46174.271168981482</v>
      </c>
      <c r="E13" s="34" t="s">
        <v>287</v>
      </c>
      <c r="F13" t="b">
        <v>1</v>
      </c>
      <c r="G13" s="34" t="s">
        <v>302</v>
      </c>
      <c r="H13" t="b">
        <v>0</v>
      </c>
    </row>
    <row r="14" spans="1:8" x14ac:dyDescent="0.35">
      <c r="A14" s="34" t="s">
        <v>740</v>
      </c>
      <c r="B14" s="34" t="s">
        <v>297</v>
      </c>
      <c r="C14" s="34" t="s">
        <v>298</v>
      </c>
      <c r="D14" s="29">
        <v>46174.25854166667</v>
      </c>
      <c r="E14" s="34" t="s">
        <v>292</v>
      </c>
      <c r="F14" t="b">
        <v>1</v>
      </c>
      <c r="G14" s="34" t="s">
        <v>226</v>
      </c>
      <c r="H14" t="b">
        <v>0</v>
      </c>
    </row>
    <row r="15" spans="1:8" x14ac:dyDescent="0.35">
      <c r="A15" s="34" t="s">
        <v>875</v>
      </c>
      <c r="B15" s="34" t="s">
        <v>294</v>
      </c>
      <c r="C15" s="34" t="s">
        <v>295</v>
      </c>
      <c r="D15" s="29">
        <v>46174.240659722222</v>
      </c>
      <c r="E15" s="34" t="s">
        <v>287</v>
      </c>
      <c r="F15" t="b">
        <v>1</v>
      </c>
      <c r="G15" s="34" t="s">
        <v>288</v>
      </c>
      <c r="H15" t="b">
        <v>0</v>
      </c>
    </row>
    <row r="16" spans="1:8" x14ac:dyDescent="0.35">
      <c r="A16" s="34" t="s">
        <v>876</v>
      </c>
      <c r="B16" s="34" t="s">
        <v>294</v>
      </c>
      <c r="C16" s="34" t="s">
        <v>295</v>
      </c>
      <c r="D16" s="29">
        <v>46174.240659722222</v>
      </c>
      <c r="E16" s="34" t="s">
        <v>287</v>
      </c>
      <c r="F16" t="b">
        <v>1</v>
      </c>
      <c r="G16" s="34" t="s">
        <v>380</v>
      </c>
      <c r="H16" t="b">
        <v>0</v>
      </c>
    </row>
    <row r="17" spans="1:8" x14ac:dyDescent="0.35">
      <c r="A17" s="34" t="s">
        <v>299</v>
      </c>
      <c r="B17" s="34" t="s">
        <v>300</v>
      </c>
      <c r="C17" s="34" t="s">
        <v>301</v>
      </c>
      <c r="D17" s="29">
        <v>46173.271041666667</v>
      </c>
      <c r="E17" s="34" t="s">
        <v>287</v>
      </c>
      <c r="F17" t="b">
        <v>1</v>
      </c>
      <c r="G17" s="34" t="s">
        <v>302</v>
      </c>
      <c r="H17" t="b">
        <v>0</v>
      </c>
    </row>
    <row r="18" spans="1:8" x14ac:dyDescent="0.35">
      <c r="A18" s="34" t="s">
        <v>845</v>
      </c>
      <c r="B18" s="34" t="s">
        <v>294</v>
      </c>
      <c r="C18" s="34" t="s">
        <v>295</v>
      </c>
      <c r="D18" s="29">
        <v>46172.610659722224</v>
      </c>
      <c r="E18" s="34" t="s">
        <v>287</v>
      </c>
      <c r="F18" t="b">
        <v>1</v>
      </c>
      <c r="G18" s="34" t="s">
        <v>578</v>
      </c>
      <c r="H18" t="b">
        <v>0</v>
      </c>
    </row>
    <row r="19" spans="1:8" x14ac:dyDescent="0.35">
      <c r="A19" s="34" t="s">
        <v>299</v>
      </c>
      <c r="B19" s="34" t="s">
        <v>300</v>
      </c>
      <c r="C19" s="34" t="s">
        <v>301</v>
      </c>
      <c r="D19" s="29">
        <v>46172.271053240744</v>
      </c>
      <c r="E19" s="34" t="s">
        <v>287</v>
      </c>
      <c r="F19" t="b">
        <v>1</v>
      </c>
      <c r="G19" s="34" t="s">
        <v>302</v>
      </c>
      <c r="H19" t="b">
        <v>0</v>
      </c>
    </row>
    <row r="20" spans="1:8" x14ac:dyDescent="0.35">
      <c r="A20" s="34" t="s">
        <v>846</v>
      </c>
      <c r="B20" s="34" t="s">
        <v>523</v>
      </c>
      <c r="C20" s="34" t="s">
        <v>524</v>
      </c>
      <c r="D20" s="29">
        <v>46171.896886574075</v>
      </c>
      <c r="E20" s="34" t="s">
        <v>287</v>
      </c>
      <c r="F20" t="b">
        <v>1</v>
      </c>
      <c r="G20" s="34" t="s">
        <v>288</v>
      </c>
      <c r="H20" t="b">
        <v>0</v>
      </c>
    </row>
    <row r="21" spans="1:8" x14ac:dyDescent="0.35">
      <c r="A21" s="34" t="s">
        <v>847</v>
      </c>
      <c r="B21" s="34" t="s">
        <v>294</v>
      </c>
      <c r="C21" s="34" t="s">
        <v>295</v>
      </c>
      <c r="D21" s="29">
        <v>46171.894942129627</v>
      </c>
      <c r="E21" s="34" t="s">
        <v>287</v>
      </c>
      <c r="F21" t="b">
        <v>1</v>
      </c>
      <c r="G21" s="34" t="s">
        <v>578</v>
      </c>
      <c r="H21" t="b">
        <v>0</v>
      </c>
    </row>
    <row r="22" spans="1:8" x14ac:dyDescent="0.35">
      <c r="A22" s="34" t="s">
        <v>719</v>
      </c>
      <c r="B22" s="34" t="s">
        <v>285</v>
      </c>
      <c r="C22" s="34" t="s">
        <v>286</v>
      </c>
      <c r="D22" s="29">
        <v>46171.835925925923</v>
      </c>
      <c r="E22" s="34" t="s">
        <v>287</v>
      </c>
      <c r="F22" t="b">
        <v>1</v>
      </c>
      <c r="G22" s="34" t="s">
        <v>290</v>
      </c>
      <c r="H22" t="b">
        <v>1</v>
      </c>
    </row>
    <row r="23" spans="1:8" x14ac:dyDescent="0.35">
      <c r="A23" s="34" t="s">
        <v>848</v>
      </c>
      <c r="B23" s="34" t="s">
        <v>294</v>
      </c>
      <c r="C23" s="34" t="s">
        <v>295</v>
      </c>
      <c r="D23" s="29">
        <v>46171.780243055553</v>
      </c>
      <c r="E23" s="34" t="s">
        <v>287</v>
      </c>
      <c r="F23" t="b">
        <v>1</v>
      </c>
      <c r="G23" s="34" t="s">
        <v>223</v>
      </c>
      <c r="H23" t="b">
        <v>0</v>
      </c>
    </row>
    <row r="24" spans="1:8" x14ac:dyDescent="0.35">
      <c r="A24" s="34" t="s">
        <v>849</v>
      </c>
      <c r="B24" s="34" t="s">
        <v>294</v>
      </c>
      <c r="C24" s="34" t="s">
        <v>295</v>
      </c>
      <c r="D24" s="29">
        <v>46171.767500000002</v>
      </c>
      <c r="E24" s="34" t="s">
        <v>287</v>
      </c>
      <c r="F24" t="b">
        <v>1</v>
      </c>
      <c r="G24" s="34" t="s">
        <v>296</v>
      </c>
      <c r="H24" t="b">
        <v>0</v>
      </c>
    </row>
    <row r="25" spans="1:8" x14ac:dyDescent="0.35">
      <c r="A25" s="34" t="s">
        <v>850</v>
      </c>
      <c r="B25" s="34" t="s">
        <v>294</v>
      </c>
      <c r="C25" s="34" t="s">
        <v>295</v>
      </c>
      <c r="D25" s="29">
        <v>46171.748171296298</v>
      </c>
      <c r="E25" s="34" t="s">
        <v>287</v>
      </c>
      <c r="F25" t="b">
        <v>1</v>
      </c>
      <c r="G25" s="34" t="s">
        <v>404</v>
      </c>
      <c r="H25" t="b">
        <v>0</v>
      </c>
    </row>
    <row r="26" spans="1:8" x14ac:dyDescent="0.35">
      <c r="A26" s="34" t="s">
        <v>851</v>
      </c>
      <c r="B26" s="34" t="s">
        <v>294</v>
      </c>
      <c r="C26" s="34" t="s">
        <v>295</v>
      </c>
      <c r="D26" s="29">
        <v>46171.747199074074</v>
      </c>
      <c r="E26" s="34" t="s">
        <v>287</v>
      </c>
      <c r="F26" t="b">
        <v>1</v>
      </c>
      <c r="G26" s="34" t="s">
        <v>404</v>
      </c>
      <c r="H26" t="b">
        <v>0</v>
      </c>
    </row>
    <row r="27" spans="1:8" x14ac:dyDescent="0.35">
      <c r="A27" s="34" t="s">
        <v>852</v>
      </c>
      <c r="B27" s="34" t="s">
        <v>294</v>
      </c>
      <c r="C27" s="34" t="s">
        <v>295</v>
      </c>
      <c r="D27" s="29">
        <v>46171.737268518518</v>
      </c>
      <c r="E27" s="34" t="s">
        <v>287</v>
      </c>
      <c r="F27" t="b">
        <v>1</v>
      </c>
      <c r="G27" s="34" t="s">
        <v>288</v>
      </c>
      <c r="H27" t="b">
        <v>0</v>
      </c>
    </row>
    <row r="28" spans="1:8" x14ac:dyDescent="0.35">
      <c r="A28" s="34" t="s">
        <v>853</v>
      </c>
      <c r="B28" s="34" t="s">
        <v>324</v>
      </c>
      <c r="C28" s="34" t="s">
        <v>325</v>
      </c>
      <c r="D28" s="29">
        <v>46171.687754629631</v>
      </c>
      <c r="E28" s="34" t="s">
        <v>287</v>
      </c>
      <c r="F28" t="b">
        <v>1</v>
      </c>
      <c r="G28" s="34" t="s">
        <v>288</v>
      </c>
      <c r="H28" t="b">
        <v>0</v>
      </c>
    </row>
    <row r="29" spans="1:8" x14ac:dyDescent="0.35">
      <c r="A29" s="34" t="s">
        <v>854</v>
      </c>
      <c r="B29" s="34" t="s">
        <v>336</v>
      </c>
      <c r="C29" s="34" t="s">
        <v>337</v>
      </c>
      <c r="D29" s="29">
        <v>46171.684328703705</v>
      </c>
      <c r="E29" s="34" t="s">
        <v>287</v>
      </c>
      <c r="F29" t="b">
        <v>1</v>
      </c>
      <c r="G29" s="34" t="s">
        <v>855</v>
      </c>
      <c r="H29" t="b">
        <v>0</v>
      </c>
    </row>
    <row r="30" spans="1:8" x14ac:dyDescent="0.35">
      <c r="A30" s="34" t="s">
        <v>780</v>
      </c>
      <c r="B30" s="34" t="s">
        <v>285</v>
      </c>
      <c r="C30" s="34" t="s">
        <v>286</v>
      </c>
      <c r="D30" s="29">
        <v>46171.6797337963</v>
      </c>
      <c r="E30" s="34" t="s">
        <v>287</v>
      </c>
      <c r="F30" t="b">
        <v>1</v>
      </c>
      <c r="G30" s="34" t="s">
        <v>73</v>
      </c>
      <c r="H30" t="b">
        <v>0</v>
      </c>
    </row>
    <row r="31" spans="1:8" x14ac:dyDescent="0.35">
      <c r="A31" s="34" t="s">
        <v>856</v>
      </c>
      <c r="B31" s="34" t="s">
        <v>336</v>
      </c>
      <c r="C31" s="34" t="s">
        <v>337</v>
      </c>
      <c r="D31" s="29">
        <v>46171.671643518515</v>
      </c>
      <c r="E31" s="34" t="s">
        <v>287</v>
      </c>
      <c r="F31" t="b">
        <v>1</v>
      </c>
      <c r="G31" s="34" t="s">
        <v>226</v>
      </c>
      <c r="H31" t="b">
        <v>0</v>
      </c>
    </row>
    <row r="32" spans="1:8" x14ac:dyDescent="0.35">
      <c r="A32" s="34" t="s">
        <v>857</v>
      </c>
      <c r="B32" s="34" t="s">
        <v>294</v>
      </c>
      <c r="C32" s="34" t="s">
        <v>295</v>
      </c>
      <c r="D32" s="29">
        <v>46171.662199074075</v>
      </c>
      <c r="E32" s="34" t="s">
        <v>287</v>
      </c>
      <c r="F32" t="b">
        <v>1</v>
      </c>
      <c r="G32" s="34" t="s">
        <v>877</v>
      </c>
      <c r="H32" t="b">
        <v>0</v>
      </c>
    </row>
    <row r="33" spans="1:8" x14ac:dyDescent="0.35">
      <c r="A33" s="34" t="s">
        <v>858</v>
      </c>
      <c r="B33" s="34" t="s">
        <v>294</v>
      </c>
      <c r="C33" s="34" t="s">
        <v>295</v>
      </c>
      <c r="D33" s="29">
        <v>46171.633229166669</v>
      </c>
      <c r="E33" s="34" t="s">
        <v>287</v>
      </c>
      <c r="F33" t="b">
        <v>1</v>
      </c>
      <c r="G33" s="34" t="s">
        <v>380</v>
      </c>
      <c r="H33" t="b">
        <v>0</v>
      </c>
    </row>
    <row r="34" spans="1:8" x14ac:dyDescent="0.35">
      <c r="A34" s="34" t="s">
        <v>859</v>
      </c>
      <c r="B34" s="34" t="s">
        <v>336</v>
      </c>
      <c r="C34" s="34" t="s">
        <v>337</v>
      </c>
      <c r="D34" s="29">
        <v>46171.627418981479</v>
      </c>
      <c r="E34" s="34" t="s">
        <v>287</v>
      </c>
      <c r="F34" t="b">
        <v>1</v>
      </c>
      <c r="G34" s="34" t="s">
        <v>226</v>
      </c>
      <c r="H34" t="b">
        <v>0</v>
      </c>
    </row>
    <row r="35" spans="1:8" x14ac:dyDescent="0.35">
      <c r="A35" s="34" t="s">
        <v>860</v>
      </c>
      <c r="B35" s="34" t="s">
        <v>294</v>
      </c>
      <c r="C35" s="34" t="s">
        <v>295</v>
      </c>
      <c r="D35" s="29">
        <v>46171.609224537038</v>
      </c>
      <c r="E35" s="34" t="s">
        <v>287</v>
      </c>
      <c r="F35" t="b">
        <v>1</v>
      </c>
      <c r="G35" s="34" t="s">
        <v>380</v>
      </c>
      <c r="H35" t="b">
        <v>0</v>
      </c>
    </row>
    <row r="36" spans="1:8" x14ac:dyDescent="0.35">
      <c r="A36" s="34" t="s">
        <v>794</v>
      </c>
      <c r="B36" s="34" t="s">
        <v>285</v>
      </c>
      <c r="C36" s="34" t="s">
        <v>286</v>
      </c>
      <c r="D36" s="29">
        <v>46171.608090277776</v>
      </c>
      <c r="E36" s="34" t="s">
        <v>287</v>
      </c>
      <c r="F36" t="b">
        <v>1</v>
      </c>
      <c r="G36" s="34" t="s">
        <v>511</v>
      </c>
      <c r="H36" t="b">
        <v>0</v>
      </c>
    </row>
    <row r="37" spans="1:8" x14ac:dyDescent="0.35">
      <c r="A37" s="34" t="s">
        <v>861</v>
      </c>
      <c r="B37" s="34" t="s">
        <v>315</v>
      </c>
      <c r="C37" s="34" t="s">
        <v>316</v>
      </c>
      <c r="D37" s="29">
        <v>46171.561226851853</v>
      </c>
      <c r="E37" s="34" t="s">
        <v>287</v>
      </c>
      <c r="F37" t="b">
        <v>1</v>
      </c>
      <c r="G37" s="34" t="s">
        <v>288</v>
      </c>
      <c r="H37" t="b">
        <v>0</v>
      </c>
    </row>
    <row r="38" spans="1:8" x14ac:dyDescent="0.35">
      <c r="A38" s="34" t="s">
        <v>794</v>
      </c>
      <c r="B38" s="34" t="s">
        <v>225</v>
      </c>
      <c r="C38" s="34" t="s">
        <v>353</v>
      </c>
      <c r="D38" s="29">
        <v>46171.560555555552</v>
      </c>
      <c r="E38" s="34" t="s">
        <v>287</v>
      </c>
      <c r="F38" t="b">
        <v>1</v>
      </c>
      <c r="G38" s="34" t="s">
        <v>288</v>
      </c>
      <c r="H38" t="b">
        <v>0</v>
      </c>
    </row>
    <row r="39" spans="1:8" x14ac:dyDescent="0.35">
      <c r="A39" s="34" t="s">
        <v>798</v>
      </c>
      <c r="B39" s="34" t="s">
        <v>285</v>
      </c>
      <c r="C39" s="34" t="s">
        <v>286</v>
      </c>
      <c r="D39" s="29">
        <v>46171.527141203704</v>
      </c>
      <c r="E39" s="34" t="s">
        <v>287</v>
      </c>
      <c r="F39" t="b">
        <v>1</v>
      </c>
      <c r="G39" s="34" t="s">
        <v>843</v>
      </c>
      <c r="H39" t="b">
        <v>0</v>
      </c>
    </row>
    <row r="40" spans="1:8" x14ac:dyDescent="0.35">
      <c r="A40" s="34" t="s">
        <v>794</v>
      </c>
      <c r="B40" s="34" t="s">
        <v>285</v>
      </c>
      <c r="C40" s="34" t="s">
        <v>286</v>
      </c>
      <c r="D40" s="29">
        <v>46171.527141203704</v>
      </c>
      <c r="E40" s="34" t="s">
        <v>287</v>
      </c>
      <c r="F40" t="b">
        <v>1</v>
      </c>
      <c r="G40" s="34" t="s">
        <v>226</v>
      </c>
      <c r="H40" t="b">
        <v>0</v>
      </c>
    </row>
    <row r="41" spans="1:8" x14ac:dyDescent="0.35">
      <c r="A41" s="34" t="s">
        <v>636</v>
      </c>
      <c r="B41" s="34" t="s">
        <v>285</v>
      </c>
      <c r="C41" s="34" t="s">
        <v>286</v>
      </c>
      <c r="D41" s="29">
        <v>46171.524965277778</v>
      </c>
      <c r="E41" s="34" t="s">
        <v>287</v>
      </c>
      <c r="F41" t="b">
        <v>1</v>
      </c>
      <c r="G41" s="34" t="s">
        <v>222</v>
      </c>
      <c r="H41" t="b">
        <v>0</v>
      </c>
    </row>
    <row r="42" spans="1:8" x14ac:dyDescent="0.35">
      <c r="A42" s="34" t="s">
        <v>636</v>
      </c>
      <c r="B42" s="34" t="s">
        <v>504</v>
      </c>
      <c r="C42" s="34" t="s">
        <v>505</v>
      </c>
      <c r="D42" s="29">
        <v>46171.505833333336</v>
      </c>
      <c r="E42" s="34" t="s">
        <v>287</v>
      </c>
      <c r="F42" t="b">
        <v>1</v>
      </c>
      <c r="G42" s="34" t="s">
        <v>226</v>
      </c>
      <c r="H42" t="b">
        <v>0</v>
      </c>
    </row>
    <row r="43" spans="1:8" x14ac:dyDescent="0.35">
      <c r="A43" s="34" t="s">
        <v>798</v>
      </c>
      <c r="B43" s="34" t="s">
        <v>799</v>
      </c>
      <c r="C43" s="34" t="s">
        <v>800</v>
      </c>
      <c r="D43" s="29">
        <v>46171.462442129632</v>
      </c>
      <c r="E43" s="34" t="s">
        <v>287</v>
      </c>
      <c r="F43" t="b">
        <v>1</v>
      </c>
      <c r="G43" s="34" t="s">
        <v>226</v>
      </c>
      <c r="H43" t="b">
        <v>0</v>
      </c>
    </row>
    <row r="44" spans="1:8" x14ac:dyDescent="0.35">
      <c r="A44" s="34" t="s">
        <v>299</v>
      </c>
      <c r="B44" s="34" t="s">
        <v>300</v>
      </c>
      <c r="C44" s="34" t="s">
        <v>301</v>
      </c>
      <c r="D44" s="29">
        <v>46171.271122685182</v>
      </c>
      <c r="E44" s="34" t="s">
        <v>287</v>
      </c>
      <c r="F44" t="b">
        <v>1</v>
      </c>
      <c r="G44" s="34" t="s">
        <v>302</v>
      </c>
      <c r="H44" t="b">
        <v>0</v>
      </c>
    </row>
    <row r="45" spans="1:8" x14ac:dyDescent="0.35">
      <c r="A45" s="34" t="s">
        <v>862</v>
      </c>
      <c r="B45" s="34" t="s">
        <v>294</v>
      </c>
      <c r="C45" s="34" t="s">
        <v>295</v>
      </c>
      <c r="D45" s="29">
        <v>46171.1253125</v>
      </c>
      <c r="E45" s="34" t="s">
        <v>287</v>
      </c>
      <c r="F45" t="b">
        <v>1</v>
      </c>
      <c r="G45" s="34" t="s">
        <v>220</v>
      </c>
      <c r="H45" t="b">
        <v>0</v>
      </c>
    </row>
    <row r="46" spans="1:8" x14ac:dyDescent="0.35">
      <c r="A46" s="34" t="s">
        <v>863</v>
      </c>
      <c r="B46" s="34" t="s">
        <v>294</v>
      </c>
      <c r="C46" s="34" t="s">
        <v>295</v>
      </c>
      <c r="D46" s="29">
        <v>46171.125300925924</v>
      </c>
      <c r="E46" s="34" t="s">
        <v>287</v>
      </c>
      <c r="F46" t="b">
        <v>1</v>
      </c>
      <c r="G46" s="34" t="s">
        <v>220</v>
      </c>
      <c r="H46" t="b">
        <v>0</v>
      </c>
    </row>
    <row r="47" spans="1:8" x14ac:dyDescent="0.35">
      <c r="A47" s="34" t="s">
        <v>798</v>
      </c>
      <c r="B47" s="34" t="s">
        <v>285</v>
      </c>
      <c r="C47" s="34" t="s">
        <v>286</v>
      </c>
      <c r="D47" s="29">
        <v>46171.039907407408</v>
      </c>
      <c r="E47" s="34" t="s">
        <v>287</v>
      </c>
      <c r="F47" t="b">
        <v>1</v>
      </c>
      <c r="G47" s="34" t="s">
        <v>226</v>
      </c>
      <c r="H47" t="b">
        <v>1</v>
      </c>
    </row>
    <row r="48" spans="1:8" x14ac:dyDescent="0.35">
      <c r="A48" s="34" t="s">
        <v>798</v>
      </c>
      <c r="B48" s="34" t="s">
        <v>285</v>
      </c>
      <c r="C48" s="34" t="s">
        <v>286</v>
      </c>
      <c r="D48" s="29">
        <v>46171.030636574076</v>
      </c>
      <c r="E48" s="34" t="s">
        <v>287</v>
      </c>
      <c r="F48" t="b">
        <v>1</v>
      </c>
      <c r="G48" s="34" t="s">
        <v>288</v>
      </c>
      <c r="H48" t="b">
        <v>1</v>
      </c>
    </row>
    <row r="49" spans="1:8" x14ac:dyDescent="0.35">
      <c r="A49" s="34" t="s">
        <v>864</v>
      </c>
      <c r="B49" s="34" t="s">
        <v>294</v>
      </c>
      <c r="C49" s="34" t="s">
        <v>295</v>
      </c>
      <c r="D49" s="29">
        <v>46170.899270833332</v>
      </c>
      <c r="E49" s="34" t="s">
        <v>287</v>
      </c>
      <c r="F49" t="b">
        <v>1</v>
      </c>
      <c r="G49" s="34" t="s">
        <v>865</v>
      </c>
      <c r="H49" t="b">
        <v>0</v>
      </c>
    </row>
    <row r="50" spans="1:8" x14ac:dyDescent="0.35">
      <c r="A50" s="34" t="s">
        <v>795</v>
      </c>
      <c r="B50" s="34" t="s">
        <v>324</v>
      </c>
      <c r="C50" s="34" t="s">
        <v>325</v>
      </c>
      <c r="D50" s="29">
        <v>46170.831342592595</v>
      </c>
      <c r="E50" s="34" t="s">
        <v>287</v>
      </c>
      <c r="F50" t="b">
        <v>1</v>
      </c>
      <c r="G50" s="34" t="s">
        <v>288</v>
      </c>
      <c r="H50" t="b">
        <v>0</v>
      </c>
    </row>
    <row r="51" spans="1:8" x14ac:dyDescent="0.35">
      <c r="A51" s="34" t="s">
        <v>852</v>
      </c>
      <c r="B51" s="34" t="s">
        <v>294</v>
      </c>
      <c r="C51" s="34" t="s">
        <v>295</v>
      </c>
      <c r="D51" s="29">
        <v>46170.782500000001</v>
      </c>
      <c r="E51" s="34" t="s">
        <v>287</v>
      </c>
      <c r="F51" t="b">
        <v>1</v>
      </c>
      <c r="G51" s="34" t="s">
        <v>288</v>
      </c>
      <c r="H51" t="b">
        <v>0</v>
      </c>
    </row>
    <row r="52" spans="1:8" x14ac:dyDescent="0.35">
      <c r="A52" s="34" t="s">
        <v>866</v>
      </c>
      <c r="B52" s="34" t="s">
        <v>294</v>
      </c>
      <c r="C52" s="34" t="s">
        <v>295</v>
      </c>
      <c r="D52" s="29">
        <v>46170.779016203705</v>
      </c>
      <c r="E52" s="34" t="s">
        <v>287</v>
      </c>
      <c r="F52" t="b">
        <v>1</v>
      </c>
      <c r="G52" s="34" t="s">
        <v>865</v>
      </c>
      <c r="H52" t="b">
        <v>0</v>
      </c>
    </row>
    <row r="53" spans="1:8" x14ac:dyDescent="0.35">
      <c r="A53" s="34" t="s">
        <v>794</v>
      </c>
      <c r="B53" s="34" t="s">
        <v>285</v>
      </c>
      <c r="C53" s="34" t="s">
        <v>286</v>
      </c>
      <c r="D53" s="29">
        <v>46170.719814814816</v>
      </c>
      <c r="E53" s="34" t="s">
        <v>287</v>
      </c>
      <c r="F53" t="b">
        <v>1</v>
      </c>
      <c r="G53" s="34" t="s">
        <v>226</v>
      </c>
      <c r="H53" t="b">
        <v>0</v>
      </c>
    </row>
    <row r="54" spans="1:8" x14ac:dyDescent="0.35">
      <c r="A54" s="34" t="s">
        <v>842</v>
      </c>
      <c r="B54" s="34" t="s">
        <v>294</v>
      </c>
      <c r="C54" s="34" t="s">
        <v>295</v>
      </c>
      <c r="D54" s="29">
        <v>46170.718171296299</v>
      </c>
      <c r="E54" s="34" t="s">
        <v>287</v>
      </c>
      <c r="F54" t="b">
        <v>1</v>
      </c>
      <c r="G54" s="34" t="s">
        <v>296</v>
      </c>
      <c r="H54" t="b">
        <v>0</v>
      </c>
    </row>
    <row r="55" spans="1:8" x14ac:dyDescent="0.35">
      <c r="A55" s="34" t="s">
        <v>798</v>
      </c>
      <c r="B55" s="34" t="s">
        <v>799</v>
      </c>
      <c r="C55" s="34" t="s">
        <v>800</v>
      </c>
      <c r="D55" s="29">
        <v>46170.706863425927</v>
      </c>
      <c r="E55" s="34" t="s">
        <v>287</v>
      </c>
      <c r="F55" t="b">
        <v>1</v>
      </c>
      <c r="G55" s="34" t="s">
        <v>226</v>
      </c>
      <c r="H55" t="b">
        <v>0</v>
      </c>
    </row>
    <row r="56" spans="1:8" x14ac:dyDescent="0.35">
      <c r="A56" s="34" t="s">
        <v>798</v>
      </c>
      <c r="B56" s="34" t="s">
        <v>799</v>
      </c>
      <c r="C56" s="34" t="s">
        <v>800</v>
      </c>
      <c r="D56" s="29">
        <v>46170.695104166669</v>
      </c>
      <c r="E56" s="34" t="s">
        <v>287</v>
      </c>
      <c r="F56" t="b">
        <v>1</v>
      </c>
      <c r="G56" s="34" t="s">
        <v>222</v>
      </c>
      <c r="H56" t="b">
        <v>0</v>
      </c>
    </row>
    <row r="57" spans="1:8" x14ac:dyDescent="0.35">
      <c r="A57" s="34" t="s">
        <v>798</v>
      </c>
      <c r="B57" s="34" t="s">
        <v>285</v>
      </c>
      <c r="C57" s="34" t="s">
        <v>286</v>
      </c>
      <c r="D57" s="29">
        <v>46170.68310185185</v>
      </c>
      <c r="E57" s="34" t="s">
        <v>287</v>
      </c>
      <c r="F57" t="b">
        <v>1</v>
      </c>
      <c r="G57" s="34" t="s">
        <v>226</v>
      </c>
      <c r="H57" t="b">
        <v>1</v>
      </c>
    </row>
    <row r="58" spans="1:8" x14ac:dyDescent="0.35">
      <c r="A58" s="34" t="s">
        <v>780</v>
      </c>
      <c r="B58" s="34" t="s">
        <v>285</v>
      </c>
      <c r="C58" s="34" t="s">
        <v>286</v>
      </c>
      <c r="D58" s="29">
        <v>46170.649780092594</v>
      </c>
      <c r="E58" s="34" t="s">
        <v>287</v>
      </c>
      <c r="F58" t="b">
        <v>1</v>
      </c>
      <c r="G58" s="34" t="s">
        <v>803</v>
      </c>
      <c r="H58" t="b">
        <v>0</v>
      </c>
    </row>
    <row r="59" spans="1:8" x14ac:dyDescent="0.35">
      <c r="A59" s="34" t="s">
        <v>808</v>
      </c>
      <c r="B59" s="34" t="s">
        <v>784</v>
      </c>
      <c r="C59" s="34" t="s">
        <v>785</v>
      </c>
      <c r="D59" s="29">
        <v>46170.642997685187</v>
      </c>
      <c r="E59" s="34" t="s">
        <v>287</v>
      </c>
      <c r="F59" t="b">
        <v>1</v>
      </c>
      <c r="G59" s="34" t="s">
        <v>226</v>
      </c>
      <c r="H59" t="b">
        <v>0</v>
      </c>
    </row>
    <row r="60" spans="1:8" x14ac:dyDescent="0.35">
      <c r="A60" s="34" t="s">
        <v>844</v>
      </c>
      <c r="B60" s="34" t="s">
        <v>324</v>
      </c>
      <c r="C60" s="34" t="s">
        <v>325</v>
      </c>
      <c r="D60" s="29">
        <v>46170.580925925926</v>
      </c>
      <c r="E60" s="34" t="s">
        <v>287</v>
      </c>
      <c r="F60" t="b">
        <v>1</v>
      </c>
      <c r="G60" s="34" t="s">
        <v>288</v>
      </c>
      <c r="H60" t="b">
        <v>0</v>
      </c>
    </row>
    <row r="61" spans="1:8" x14ac:dyDescent="0.35">
      <c r="A61" s="34" t="s">
        <v>299</v>
      </c>
      <c r="B61" s="34" t="s">
        <v>300</v>
      </c>
      <c r="C61" s="34" t="s">
        <v>301</v>
      </c>
      <c r="D61" s="29">
        <v>46170.271087962959</v>
      </c>
      <c r="E61" s="34" t="s">
        <v>287</v>
      </c>
      <c r="F61" t="b">
        <v>1</v>
      </c>
      <c r="G61" s="34" t="s">
        <v>302</v>
      </c>
      <c r="H61" t="b">
        <v>0</v>
      </c>
    </row>
    <row r="62" spans="1:8" x14ac:dyDescent="0.35">
      <c r="A62" s="34" t="s">
        <v>822</v>
      </c>
      <c r="B62" s="34" t="s">
        <v>285</v>
      </c>
      <c r="C62" s="34" t="s">
        <v>286</v>
      </c>
      <c r="D62" s="29">
        <v>46169.903912037036</v>
      </c>
      <c r="E62" s="34" t="s">
        <v>287</v>
      </c>
      <c r="F62" t="b">
        <v>1</v>
      </c>
      <c r="G62" s="34" t="s">
        <v>290</v>
      </c>
      <c r="H62" t="b">
        <v>0</v>
      </c>
    </row>
    <row r="63" spans="1:8" x14ac:dyDescent="0.35">
      <c r="A63" s="34" t="s">
        <v>823</v>
      </c>
      <c r="B63" s="34" t="s">
        <v>294</v>
      </c>
      <c r="C63" s="34" t="s">
        <v>295</v>
      </c>
      <c r="D63" s="29">
        <v>46169.868692129632</v>
      </c>
      <c r="E63" s="34" t="s">
        <v>287</v>
      </c>
      <c r="F63" t="b">
        <v>1</v>
      </c>
      <c r="G63" s="34" t="s">
        <v>288</v>
      </c>
      <c r="H63" t="b">
        <v>0</v>
      </c>
    </row>
    <row r="64" spans="1:8" x14ac:dyDescent="0.35">
      <c r="A64" s="34" t="s">
        <v>792</v>
      </c>
      <c r="B64" s="34" t="s">
        <v>285</v>
      </c>
      <c r="C64" s="34" t="s">
        <v>286</v>
      </c>
      <c r="D64" s="29">
        <v>46169.786782407406</v>
      </c>
      <c r="E64" s="34" t="s">
        <v>287</v>
      </c>
      <c r="F64" t="b">
        <v>1</v>
      </c>
      <c r="G64" s="34" t="s">
        <v>290</v>
      </c>
      <c r="H64" t="b">
        <v>0</v>
      </c>
    </row>
    <row r="65" spans="1:8" x14ac:dyDescent="0.35">
      <c r="A65" s="34" t="s">
        <v>709</v>
      </c>
      <c r="B65" s="34" t="s">
        <v>546</v>
      </c>
      <c r="C65" s="34" t="s">
        <v>435</v>
      </c>
      <c r="D65" s="29">
        <v>46169.728819444441</v>
      </c>
      <c r="E65" s="34" t="s">
        <v>287</v>
      </c>
      <c r="F65" t="b">
        <v>1</v>
      </c>
      <c r="G65" s="34" t="s">
        <v>226</v>
      </c>
      <c r="H65" t="b">
        <v>1</v>
      </c>
    </row>
    <row r="66" spans="1:8" x14ac:dyDescent="0.35">
      <c r="A66" s="34" t="s">
        <v>636</v>
      </c>
      <c r="B66" s="34" t="s">
        <v>504</v>
      </c>
      <c r="C66" s="34" t="s">
        <v>505</v>
      </c>
      <c r="D66" s="29">
        <v>46169.725810185184</v>
      </c>
      <c r="E66" s="34" t="s">
        <v>287</v>
      </c>
      <c r="F66" t="b">
        <v>1</v>
      </c>
      <c r="G66" s="34" t="s">
        <v>226</v>
      </c>
      <c r="H66" t="b">
        <v>0</v>
      </c>
    </row>
    <row r="67" spans="1:8" x14ac:dyDescent="0.35">
      <c r="A67" s="34" t="s">
        <v>824</v>
      </c>
      <c r="B67" s="34" t="s">
        <v>398</v>
      </c>
      <c r="C67" s="34" t="s">
        <v>399</v>
      </c>
      <c r="D67" s="29">
        <v>46169.637060185189</v>
      </c>
      <c r="E67" s="34" t="s">
        <v>287</v>
      </c>
      <c r="F67" t="b">
        <v>1</v>
      </c>
      <c r="G67" s="34" t="s">
        <v>288</v>
      </c>
      <c r="H67" t="b">
        <v>0</v>
      </c>
    </row>
    <row r="68" spans="1:8" x14ac:dyDescent="0.35">
      <c r="A68" s="34" t="s">
        <v>825</v>
      </c>
      <c r="B68" s="34" t="s">
        <v>315</v>
      </c>
      <c r="C68" s="34" t="s">
        <v>316</v>
      </c>
      <c r="D68" s="29">
        <v>46169.475046296298</v>
      </c>
      <c r="E68" s="34" t="s">
        <v>287</v>
      </c>
      <c r="F68" t="b">
        <v>1</v>
      </c>
      <c r="G68" s="34" t="s">
        <v>288</v>
      </c>
      <c r="H68" t="b">
        <v>0</v>
      </c>
    </row>
    <row r="69" spans="1:8" x14ac:dyDescent="0.35">
      <c r="A69" s="34" t="s">
        <v>825</v>
      </c>
      <c r="B69" s="34" t="s">
        <v>315</v>
      </c>
      <c r="C69" s="34" t="s">
        <v>316</v>
      </c>
      <c r="D69" s="29">
        <v>46169.472754629627</v>
      </c>
      <c r="E69" s="34" t="s">
        <v>287</v>
      </c>
      <c r="F69" t="b">
        <v>1</v>
      </c>
      <c r="G69" s="34" t="s">
        <v>288</v>
      </c>
      <c r="H69" t="b">
        <v>0</v>
      </c>
    </row>
    <row r="70" spans="1:8" x14ac:dyDescent="0.35">
      <c r="A70" s="34" t="s">
        <v>826</v>
      </c>
      <c r="B70" s="34" t="s">
        <v>294</v>
      </c>
      <c r="C70" s="34" t="s">
        <v>295</v>
      </c>
      <c r="D70" s="29">
        <v>46169.394756944443</v>
      </c>
      <c r="E70" s="34" t="s">
        <v>287</v>
      </c>
      <c r="F70" t="b">
        <v>1</v>
      </c>
      <c r="G70" s="34" t="s">
        <v>394</v>
      </c>
      <c r="H70" t="b">
        <v>0</v>
      </c>
    </row>
    <row r="71" spans="1:8" x14ac:dyDescent="0.35">
      <c r="A71" s="34" t="s">
        <v>827</v>
      </c>
      <c r="B71" s="34" t="s">
        <v>294</v>
      </c>
      <c r="C71" s="34" t="s">
        <v>295</v>
      </c>
      <c r="D71" s="29">
        <v>46169.360173611109</v>
      </c>
      <c r="E71" s="34" t="s">
        <v>287</v>
      </c>
      <c r="F71" t="b">
        <v>1</v>
      </c>
      <c r="G71" s="34" t="s">
        <v>394</v>
      </c>
      <c r="H71" t="b">
        <v>0</v>
      </c>
    </row>
    <row r="72" spans="1:8" x14ac:dyDescent="0.35">
      <c r="A72" s="34" t="s">
        <v>299</v>
      </c>
      <c r="B72" s="34" t="s">
        <v>300</v>
      </c>
      <c r="C72" s="34" t="s">
        <v>301</v>
      </c>
      <c r="D72" s="29">
        <v>46169.270995370367</v>
      </c>
      <c r="E72" s="34" t="s">
        <v>287</v>
      </c>
      <c r="F72" t="b">
        <v>1</v>
      </c>
      <c r="G72" s="34" t="s">
        <v>302</v>
      </c>
      <c r="H72" t="b">
        <v>0</v>
      </c>
    </row>
    <row r="73" spans="1:8" x14ac:dyDescent="0.35">
      <c r="A73" s="34" t="s">
        <v>828</v>
      </c>
      <c r="B73" s="34" t="s">
        <v>294</v>
      </c>
      <c r="C73" s="34" t="s">
        <v>295</v>
      </c>
      <c r="D73" s="29">
        <v>46168.755474537036</v>
      </c>
      <c r="E73" s="34" t="s">
        <v>287</v>
      </c>
      <c r="F73" t="b">
        <v>1</v>
      </c>
      <c r="G73" s="34" t="s">
        <v>581</v>
      </c>
      <c r="H73" t="b">
        <v>0</v>
      </c>
    </row>
    <row r="74" spans="1:8" x14ac:dyDescent="0.35">
      <c r="A74" s="34" t="s">
        <v>829</v>
      </c>
      <c r="B74" s="34" t="s">
        <v>324</v>
      </c>
      <c r="C74" s="34" t="s">
        <v>325</v>
      </c>
      <c r="D74" s="29">
        <v>46168.74417824074</v>
      </c>
      <c r="E74" s="34" t="s">
        <v>287</v>
      </c>
      <c r="F74" t="b">
        <v>1</v>
      </c>
      <c r="G74" s="34" t="s">
        <v>288</v>
      </c>
      <c r="H74" t="b">
        <v>0</v>
      </c>
    </row>
    <row r="75" spans="1:8" x14ac:dyDescent="0.35">
      <c r="A75" s="34" t="s">
        <v>830</v>
      </c>
      <c r="B75" s="34" t="s">
        <v>294</v>
      </c>
      <c r="C75" s="34" t="s">
        <v>295</v>
      </c>
      <c r="D75" s="29">
        <v>46168.732986111114</v>
      </c>
      <c r="E75" s="34" t="s">
        <v>287</v>
      </c>
      <c r="F75" t="b">
        <v>1</v>
      </c>
      <c r="G75" s="34" t="s">
        <v>288</v>
      </c>
      <c r="H75" t="b">
        <v>0</v>
      </c>
    </row>
    <row r="76" spans="1:8" x14ac:dyDescent="0.35">
      <c r="A76" s="34" t="s">
        <v>824</v>
      </c>
      <c r="B76" s="34" t="s">
        <v>398</v>
      </c>
      <c r="C76" s="34" t="s">
        <v>399</v>
      </c>
      <c r="D76" s="29">
        <v>46168.647060185183</v>
      </c>
      <c r="E76" s="34" t="s">
        <v>287</v>
      </c>
      <c r="F76" t="b">
        <v>1</v>
      </c>
      <c r="G76" s="34" t="s">
        <v>803</v>
      </c>
      <c r="H76" t="b">
        <v>0</v>
      </c>
    </row>
    <row r="77" spans="1:8" x14ac:dyDescent="0.35">
      <c r="A77" s="34" t="s">
        <v>824</v>
      </c>
      <c r="B77" s="34" t="s">
        <v>285</v>
      </c>
      <c r="C77" s="34" t="s">
        <v>286</v>
      </c>
      <c r="D77" s="29">
        <v>46168.641539351855</v>
      </c>
      <c r="E77" s="34" t="s">
        <v>287</v>
      </c>
      <c r="F77" t="b">
        <v>1</v>
      </c>
      <c r="G77" s="34" t="s">
        <v>226</v>
      </c>
      <c r="H77" t="b">
        <v>0</v>
      </c>
    </row>
    <row r="78" spans="1:8" x14ac:dyDescent="0.35">
      <c r="A78" s="34" t="s">
        <v>831</v>
      </c>
      <c r="B78" s="34" t="s">
        <v>297</v>
      </c>
      <c r="C78" s="34" t="s">
        <v>298</v>
      </c>
      <c r="D78" s="29">
        <v>46168.625243055554</v>
      </c>
      <c r="E78" s="34" t="s">
        <v>287</v>
      </c>
      <c r="F78" t="b">
        <v>1</v>
      </c>
      <c r="G78" s="34" t="s">
        <v>226</v>
      </c>
      <c r="H78" t="b">
        <v>0</v>
      </c>
    </row>
    <row r="79" spans="1:8" x14ac:dyDescent="0.35">
      <c r="A79" s="34" t="s">
        <v>832</v>
      </c>
      <c r="B79" s="34" t="s">
        <v>294</v>
      </c>
      <c r="C79" s="34" t="s">
        <v>295</v>
      </c>
      <c r="D79" s="29">
        <v>46168.580254629633</v>
      </c>
      <c r="E79" s="34" t="s">
        <v>287</v>
      </c>
      <c r="F79" t="b">
        <v>1</v>
      </c>
      <c r="G79" s="34" t="s">
        <v>406</v>
      </c>
      <c r="H79" t="b">
        <v>0</v>
      </c>
    </row>
    <row r="80" spans="1:8" x14ac:dyDescent="0.35">
      <c r="A80" s="34" t="s">
        <v>833</v>
      </c>
      <c r="B80" s="34" t="s">
        <v>227</v>
      </c>
      <c r="C80" s="34" t="s">
        <v>291</v>
      </c>
      <c r="D80" s="29">
        <v>46168.567488425928</v>
      </c>
      <c r="E80" s="34" t="s">
        <v>287</v>
      </c>
      <c r="F80" t="b">
        <v>1</v>
      </c>
      <c r="G80" s="34" t="s">
        <v>803</v>
      </c>
      <c r="H80" t="b">
        <v>0</v>
      </c>
    </row>
    <row r="81" spans="1:8" x14ac:dyDescent="0.35">
      <c r="A81" s="34" t="s">
        <v>773</v>
      </c>
      <c r="B81" s="34" t="s">
        <v>285</v>
      </c>
      <c r="C81" s="34" t="s">
        <v>286</v>
      </c>
      <c r="D81" s="29">
        <v>46168.509988425925</v>
      </c>
      <c r="E81" s="34" t="s">
        <v>287</v>
      </c>
      <c r="F81" t="b">
        <v>1</v>
      </c>
      <c r="G81" s="34" t="s">
        <v>226</v>
      </c>
      <c r="H81" t="b">
        <v>0</v>
      </c>
    </row>
    <row r="82" spans="1:8" x14ac:dyDescent="0.35">
      <c r="A82" s="34" t="s">
        <v>834</v>
      </c>
      <c r="B82" s="34" t="s">
        <v>336</v>
      </c>
      <c r="C82" s="34" t="s">
        <v>337</v>
      </c>
      <c r="D82" s="29">
        <v>46168.492962962962</v>
      </c>
      <c r="E82" s="34" t="s">
        <v>287</v>
      </c>
      <c r="F82" t="b">
        <v>1</v>
      </c>
      <c r="G82" s="34" t="s">
        <v>226</v>
      </c>
      <c r="H82" t="b">
        <v>0</v>
      </c>
    </row>
    <row r="83" spans="1:8" x14ac:dyDescent="0.35">
      <c r="A83" s="34" t="s">
        <v>835</v>
      </c>
      <c r="B83" s="34" t="s">
        <v>294</v>
      </c>
      <c r="C83" s="34" t="s">
        <v>295</v>
      </c>
      <c r="D83" s="29">
        <v>46168.485763888886</v>
      </c>
      <c r="E83" s="34" t="s">
        <v>287</v>
      </c>
      <c r="F83" t="b">
        <v>1</v>
      </c>
      <c r="G83" s="34" t="s">
        <v>380</v>
      </c>
      <c r="H83" t="b">
        <v>0</v>
      </c>
    </row>
    <row r="84" spans="1:8" x14ac:dyDescent="0.35">
      <c r="A84" s="34" t="s">
        <v>825</v>
      </c>
      <c r="B84" s="34" t="s">
        <v>315</v>
      </c>
      <c r="C84" s="34" t="s">
        <v>316</v>
      </c>
      <c r="D84" s="29">
        <v>46168.476793981485</v>
      </c>
      <c r="E84" s="34" t="s">
        <v>287</v>
      </c>
      <c r="F84" t="b">
        <v>1</v>
      </c>
      <c r="G84" s="34" t="s">
        <v>226</v>
      </c>
      <c r="H84" t="b">
        <v>0</v>
      </c>
    </row>
    <row r="85" spans="1:8" x14ac:dyDescent="0.35">
      <c r="A85" s="34" t="s">
        <v>773</v>
      </c>
      <c r="B85" s="34" t="s">
        <v>285</v>
      </c>
      <c r="C85" s="34" t="s">
        <v>286</v>
      </c>
      <c r="D85" s="29">
        <v>46168.442187499997</v>
      </c>
      <c r="E85" s="34" t="s">
        <v>287</v>
      </c>
      <c r="F85" t="b">
        <v>1</v>
      </c>
      <c r="G85" s="34" t="s">
        <v>226</v>
      </c>
      <c r="H85" t="b">
        <v>0</v>
      </c>
    </row>
    <row r="86" spans="1:8" x14ac:dyDescent="0.35">
      <c r="A86" s="34" t="s">
        <v>836</v>
      </c>
      <c r="B86" s="34" t="s">
        <v>297</v>
      </c>
      <c r="C86" s="34" t="s">
        <v>298</v>
      </c>
      <c r="D86" s="29">
        <v>46168.434062499997</v>
      </c>
      <c r="E86" s="34" t="s">
        <v>287</v>
      </c>
      <c r="F86" t="b">
        <v>1</v>
      </c>
      <c r="G86" s="34" t="s">
        <v>226</v>
      </c>
      <c r="H86" t="b">
        <v>1</v>
      </c>
    </row>
    <row r="87" spans="1:8" x14ac:dyDescent="0.35">
      <c r="A87" s="34" t="s">
        <v>299</v>
      </c>
      <c r="B87" s="34" t="s">
        <v>300</v>
      </c>
      <c r="C87" s="34" t="s">
        <v>301</v>
      </c>
      <c r="D87" s="29">
        <v>46168.271180555559</v>
      </c>
      <c r="E87" s="34" t="s">
        <v>287</v>
      </c>
      <c r="F87" t="b">
        <v>1</v>
      </c>
      <c r="G87" s="34" t="s">
        <v>302</v>
      </c>
      <c r="H87" t="b">
        <v>0</v>
      </c>
    </row>
    <row r="88" spans="1:8" x14ac:dyDescent="0.35">
      <c r="A88" s="34" t="s">
        <v>837</v>
      </c>
      <c r="B88" s="34" t="s">
        <v>294</v>
      </c>
      <c r="C88" s="34" t="s">
        <v>295</v>
      </c>
      <c r="D88" s="29">
        <v>46167.997372685182</v>
      </c>
      <c r="E88" s="34" t="s">
        <v>287</v>
      </c>
      <c r="F88" t="b">
        <v>1</v>
      </c>
      <c r="G88" s="34" t="s">
        <v>413</v>
      </c>
      <c r="H88" t="b">
        <v>0</v>
      </c>
    </row>
    <row r="89" spans="1:8" x14ac:dyDescent="0.35">
      <c r="A89" s="34" t="s">
        <v>838</v>
      </c>
      <c r="B89" s="34" t="s">
        <v>839</v>
      </c>
      <c r="C89" s="34" t="s">
        <v>840</v>
      </c>
      <c r="D89" s="29">
        <v>46167.859467592592</v>
      </c>
      <c r="E89" s="34" t="s">
        <v>287</v>
      </c>
      <c r="F89" t="b">
        <v>1</v>
      </c>
      <c r="G89" s="34" t="s">
        <v>518</v>
      </c>
      <c r="H89" t="b">
        <v>1</v>
      </c>
    </row>
    <row r="90" spans="1:8" x14ac:dyDescent="0.35">
      <c r="A90" s="34" t="s">
        <v>808</v>
      </c>
      <c r="B90" s="34" t="s">
        <v>784</v>
      </c>
      <c r="C90" s="34" t="s">
        <v>785</v>
      </c>
      <c r="D90" s="29">
        <v>46167.752210648148</v>
      </c>
      <c r="E90" s="34" t="s">
        <v>287</v>
      </c>
      <c r="F90" t="b">
        <v>1</v>
      </c>
      <c r="G90" s="34" t="s">
        <v>222</v>
      </c>
      <c r="H90" t="b">
        <v>0</v>
      </c>
    </row>
    <row r="91" spans="1:8" x14ac:dyDescent="0.35">
      <c r="A91" s="34" t="s">
        <v>820</v>
      </c>
      <c r="B91" s="34" t="s">
        <v>294</v>
      </c>
      <c r="C91" s="34" t="s">
        <v>295</v>
      </c>
      <c r="D91" s="29">
        <v>46167.707974537036</v>
      </c>
      <c r="E91" s="34" t="s">
        <v>287</v>
      </c>
      <c r="F91" t="b">
        <v>1</v>
      </c>
      <c r="G91" s="34" t="s">
        <v>841</v>
      </c>
      <c r="H91" t="b">
        <v>0</v>
      </c>
    </row>
    <row r="92" spans="1:8" x14ac:dyDescent="0.35">
      <c r="A92" s="34" t="s">
        <v>821</v>
      </c>
      <c r="B92" s="34" t="s">
        <v>294</v>
      </c>
      <c r="C92" s="34" t="s">
        <v>295</v>
      </c>
      <c r="D92" s="29">
        <v>46167.706585648149</v>
      </c>
      <c r="E92" s="34" t="s">
        <v>287</v>
      </c>
      <c r="F92" t="b">
        <v>1</v>
      </c>
      <c r="G92" s="34" t="s">
        <v>288</v>
      </c>
      <c r="H92" t="b">
        <v>0</v>
      </c>
    </row>
    <row r="93" spans="1:8" x14ac:dyDescent="0.35">
      <c r="A93" s="34" t="s">
        <v>669</v>
      </c>
      <c r="B93" s="34" t="s">
        <v>225</v>
      </c>
      <c r="C93" s="34" t="s">
        <v>353</v>
      </c>
      <c r="D93" s="29">
        <v>46167.608298611114</v>
      </c>
      <c r="E93" s="34" t="s">
        <v>287</v>
      </c>
      <c r="F93" t="b">
        <v>1</v>
      </c>
      <c r="G93" s="34" t="s">
        <v>518</v>
      </c>
      <c r="H93" t="b">
        <v>0</v>
      </c>
    </row>
    <row r="94" spans="1:8" x14ac:dyDescent="0.35">
      <c r="A94" s="34" t="s">
        <v>636</v>
      </c>
      <c r="B94" s="34" t="s">
        <v>285</v>
      </c>
      <c r="C94" s="34" t="s">
        <v>286</v>
      </c>
      <c r="D94" s="29">
        <v>46167.603819444441</v>
      </c>
      <c r="E94" s="34" t="s">
        <v>287</v>
      </c>
      <c r="F94" t="b">
        <v>1</v>
      </c>
      <c r="G94" s="34" t="s">
        <v>801</v>
      </c>
      <c r="H94" t="b">
        <v>1</v>
      </c>
    </row>
    <row r="95" spans="1:8" x14ac:dyDescent="0.35">
      <c r="A95" s="34" t="s">
        <v>669</v>
      </c>
      <c r="B95" s="34" t="s">
        <v>285</v>
      </c>
      <c r="C95" s="34" t="s">
        <v>286</v>
      </c>
      <c r="D95" s="29">
        <v>46167.597916666666</v>
      </c>
      <c r="E95" s="34" t="s">
        <v>287</v>
      </c>
      <c r="F95" t="b">
        <v>1</v>
      </c>
      <c r="G95" s="34" t="s">
        <v>288</v>
      </c>
      <c r="H95" t="b">
        <v>0</v>
      </c>
    </row>
    <row r="96" spans="1:8" x14ac:dyDescent="0.35">
      <c r="A96" s="34" t="s">
        <v>773</v>
      </c>
      <c r="B96" s="34" t="s">
        <v>225</v>
      </c>
      <c r="C96" s="34" t="s">
        <v>353</v>
      </c>
      <c r="D96" s="29">
        <v>46167.595717592594</v>
      </c>
      <c r="E96" s="34" t="s">
        <v>287</v>
      </c>
      <c r="F96" t="b">
        <v>1</v>
      </c>
      <c r="G96" s="34" t="s">
        <v>226</v>
      </c>
      <c r="H96" t="b">
        <v>0</v>
      </c>
    </row>
    <row r="97" spans="1:8" x14ac:dyDescent="0.35">
      <c r="A97" s="34" t="s">
        <v>669</v>
      </c>
      <c r="B97" s="34" t="s">
        <v>225</v>
      </c>
      <c r="C97" s="34" t="s">
        <v>353</v>
      </c>
      <c r="D97" s="29">
        <v>46167.593356481484</v>
      </c>
      <c r="E97" s="34" t="s">
        <v>287</v>
      </c>
      <c r="F97" t="b">
        <v>1</v>
      </c>
      <c r="G97" s="34" t="s">
        <v>226</v>
      </c>
      <c r="H97" t="b">
        <v>0</v>
      </c>
    </row>
    <row r="98" spans="1:8" x14ac:dyDescent="0.35">
      <c r="A98" s="34" t="s">
        <v>774</v>
      </c>
      <c r="B98" s="34" t="s">
        <v>44</v>
      </c>
      <c r="C98" s="34" t="s">
        <v>775</v>
      </c>
      <c r="D98" s="29">
        <v>46167.58971064815</v>
      </c>
      <c r="E98" s="34" t="s">
        <v>287</v>
      </c>
      <c r="F98" t="b">
        <v>1</v>
      </c>
      <c r="G98" s="34" t="s">
        <v>222</v>
      </c>
      <c r="H98" t="b">
        <v>0</v>
      </c>
    </row>
    <row r="99" spans="1:8" x14ac:dyDescent="0.35">
      <c r="A99" s="34" t="s">
        <v>669</v>
      </c>
      <c r="B99" s="34" t="s">
        <v>285</v>
      </c>
      <c r="C99" s="34" t="s">
        <v>286</v>
      </c>
      <c r="D99" s="29">
        <v>46167.589699074073</v>
      </c>
      <c r="E99" s="34" t="s">
        <v>287</v>
      </c>
      <c r="F99" t="b">
        <v>1</v>
      </c>
      <c r="G99" s="34" t="s">
        <v>226</v>
      </c>
      <c r="H99" t="b">
        <v>0</v>
      </c>
    </row>
    <row r="100" spans="1:8" x14ac:dyDescent="0.35">
      <c r="A100" s="34" t="s">
        <v>776</v>
      </c>
      <c r="B100" s="34" t="s">
        <v>285</v>
      </c>
      <c r="C100" s="34" t="s">
        <v>286</v>
      </c>
      <c r="D100" s="29">
        <v>46167.58730324074</v>
      </c>
      <c r="E100" s="34" t="s">
        <v>287</v>
      </c>
      <c r="F100" t="b">
        <v>1</v>
      </c>
      <c r="G100" s="34" t="s">
        <v>288</v>
      </c>
      <c r="H100" t="b">
        <v>0</v>
      </c>
    </row>
    <row r="101" spans="1:8" x14ac:dyDescent="0.35">
      <c r="A101" s="34" t="s">
        <v>777</v>
      </c>
      <c r="B101" s="34" t="s">
        <v>324</v>
      </c>
      <c r="C101" s="34" t="s">
        <v>325</v>
      </c>
      <c r="D101" s="29">
        <v>46167.582141203704</v>
      </c>
      <c r="E101" s="34" t="s">
        <v>287</v>
      </c>
      <c r="F101" t="b">
        <v>1</v>
      </c>
      <c r="G101" s="34" t="s">
        <v>288</v>
      </c>
      <c r="H101" t="b">
        <v>0</v>
      </c>
    </row>
    <row r="102" spans="1:8" x14ac:dyDescent="0.35">
      <c r="A102" s="34" t="s">
        <v>776</v>
      </c>
      <c r="B102" s="34" t="s">
        <v>285</v>
      </c>
      <c r="C102" s="34" t="s">
        <v>286</v>
      </c>
      <c r="D102" s="29">
        <v>46167.580543981479</v>
      </c>
      <c r="E102" s="34" t="s">
        <v>287</v>
      </c>
      <c r="F102" t="b">
        <v>1</v>
      </c>
      <c r="G102" s="34" t="s">
        <v>222</v>
      </c>
      <c r="H102" t="b">
        <v>0</v>
      </c>
    </row>
    <row r="103" spans="1:8" x14ac:dyDescent="0.35">
      <c r="A103" s="34" t="s">
        <v>778</v>
      </c>
      <c r="B103" s="34" t="s">
        <v>324</v>
      </c>
      <c r="C103" s="34" t="s">
        <v>325</v>
      </c>
      <c r="D103" s="29">
        <v>46167.578425925924</v>
      </c>
      <c r="E103" s="34" t="s">
        <v>287</v>
      </c>
      <c r="F103" t="b">
        <v>1</v>
      </c>
      <c r="G103" s="34" t="s">
        <v>222</v>
      </c>
      <c r="H103" t="b">
        <v>0</v>
      </c>
    </row>
    <row r="104" spans="1:8" x14ac:dyDescent="0.35">
      <c r="A104" s="34" t="s">
        <v>779</v>
      </c>
      <c r="B104" s="34" t="s">
        <v>297</v>
      </c>
      <c r="C104" s="34" t="s">
        <v>298</v>
      </c>
      <c r="D104" s="29">
        <v>46167.565023148149</v>
      </c>
      <c r="E104" s="34" t="s">
        <v>287</v>
      </c>
      <c r="F104" t="b">
        <v>1</v>
      </c>
      <c r="G104" s="34" t="s">
        <v>226</v>
      </c>
      <c r="H104" t="b">
        <v>0</v>
      </c>
    </row>
    <row r="105" spans="1:8" x14ac:dyDescent="0.35">
      <c r="A105" s="34" t="s">
        <v>780</v>
      </c>
      <c r="B105" s="34" t="s">
        <v>285</v>
      </c>
      <c r="C105" s="34" t="s">
        <v>286</v>
      </c>
      <c r="D105" s="29">
        <v>46167.546932870369</v>
      </c>
      <c r="E105" s="34" t="s">
        <v>287</v>
      </c>
      <c r="F105" t="b">
        <v>1</v>
      </c>
      <c r="G105" s="34" t="s">
        <v>801</v>
      </c>
      <c r="H105" t="b">
        <v>0</v>
      </c>
    </row>
    <row r="106" spans="1:8" x14ac:dyDescent="0.35">
      <c r="A106" s="34" t="s">
        <v>781</v>
      </c>
      <c r="B106" s="34" t="s">
        <v>294</v>
      </c>
      <c r="C106" s="34" t="s">
        <v>295</v>
      </c>
      <c r="D106" s="29">
        <v>46167.539988425924</v>
      </c>
      <c r="E106" s="34" t="s">
        <v>287</v>
      </c>
      <c r="F106" t="b">
        <v>1</v>
      </c>
      <c r="G106" s="34" t="s">
        <v>296</v>
      </c>
      <c r="H106" t="b">
        <v>0</v>
      </c>
    </row>
    <row r="107" spans="1:8" x14ac:dyDescent="0.35">
      <c r="A107" s="34" t="s">
        <v>782</v>
      </c>
      <c r="B107" s="34" t="s">
        <v>294</v>
      </c>
      <c r="C107" s="34" t="s">
        <v>295</v>
      </c>
      <c r="D107" s="29">
        <v>46167.518020833333</v>
      </c>
      <c r="E107" s="34" t="s">
        <v>287</v>
      </c>
      <c r="F107" t="b">
        <v>1</v>
      </c>
      <c r="G107" s="34" t="s">
        <v>629</v>
      </c>
      <c r="H107" t="b">
        <v>0</v>
      </c>
    </row>
    <row r="108" spans="1:8" x14ac:dyDescent="0.35">
      <c r="A108" s="34" t="s">
        <v>783</v>
      </c>
      <c r="B108" s="34" t="s">
        <v>336</v>
      </c>
      <c r="C108" s="34" t="s">
        <v>337</v>
      </c>
      <c r="D108" s="29">
        <v>46167.515752314815</v>
      </c>
      <c r="E108" s="34" t="s">
        <v>287</v>
      </c>
      <c r="F108" t="b">
        <v>1</v>
      </c>
      <c r="G108" s="34" t="s">
        <v>226</v>
      </c>
      <c r="H108" t="b">
        <v>1</v>
      </c>
    </row>
    <row r="109" spans="1:8" x14ac:dyDescent="0.35">
      <c r="A109" s="34" t="s">
        <v>780</v>
      </c>
      <c r="B109" s="34" t="s">
        <v>285</v>
      </c>
      <c r="C109" s="34" t="s">
        <v>286</v>
      </c>
      <c r="D109" s="29">
        <v>46167.401574074072</v>
      </c>
      <c r="E109" s="34" t="s">
        <v>287</v>
      </c>
      <c r="F109" t="b">
        <v>1</v>
      </c>
      <c r="G109" s="34" t="s">
        <v>226</v>
      </c>
      <c r="H109" t="b">
        <v>0</v>
      </c>
    </row>
    <row r="110" spans="1:8" x14ac:dyDescent="0.35">
      <c r="A110" s="34" t="s">
        <v>780</v>
      </c>
      <c r="B110" s="34" t="s">
        <v>784</v>
      </c>
      <c r="C110" s="34" t="s">
        <v>785</v>
      </c>
      <c r="D110" s="29">
        <v>46167.391168981485</v>
      </c>
      <c r="E110" s="34" t="s">
        <v>287</v>
      </c>
      <c r="F110" t="b">
        <v>1</v>
      </c>
      <c r="G110" s="34" t="s">
        <v>412</v>
      </c>
      <c r="H110" t="b">
        <v>0</v>
      </c>
    </row>
    <row r="111" spans="1:8" x14ac:dyDescent="0.35">
      <c r="A111" s="34" t="s">
        <v>786</v>
      </c>
      <c r="B111" s="34" t="s">
        <v>297</v>
      </c>
      <c r="C111" s="34" t="s">
        <v>298</v>
      </c>
      <c r="D111" s="29">
        <v>46167.290856481479</v>
      </c>
      <c r="E111" s="34" t="s">
        <v>287</v>
      </c>
      <c r="F111" t="b">
        <v>1</v>
      </c>
      <c r="G111" s="34" t="s">
        <v>226</v>
      </c>
      <c r="H111" t="b">
        <v>0</v>
      </c>
    </row>
    <row r="112" spans="1:8" x14ac:dyDescent="0.35">
      <c r="A112" s="34" t="s">
        <v>299</v>
      </c>
      <c r="B112" s="34" t="s">
        <v>300</v>
      </c>
      <c r="C112" s="34" t="s">
        <v>301</v>
      </c>
      <c r="D112" s="29">
        <v>46167.271319444444</v>
      </c>
      <c r="E112" s="34" t="s">
        <v>287</v>
      </c>
      <c r="F112" t="b">
        <v>1</v>
      </c>
      <c r="G112" s="34" t="s">
        <v>302</v>
      </c>
      <c r="H112" t="b">
        <v>0</v>
      </c>
    </row>
    <row r="113" spans="1:8" x14ac:dyDescent="0.35">
      <c r="A113" s="34" t="s">
        <v>787</v>
      </c>
      <c r="B113" s="34" t="s">
        <v>294</v>
      </c>
      <c r="C113" s="34" t="s">
        <v>295</v>
      </c>
      <c r="D113" s="29">
        <v>46167.089618055557</v>
      </c>
      <c r="E113" s="34" t="s">
        <v>287</v>
      </c>
      <c r="F113" t="b">
        <v>1</v>
      </c>
      <c r="G113" s="34" t="s">
        <v>220</v>
      </c>
      <c r="H113" t="b">
        <v>0</v>
      </c>
    </row>
    <row r="114" spans="1:8" x14ac:dyDescent="0.35">
      <c r="A114" s="34" t="s">
        <v>788</v>
      </c>
      <c r="B114" s="34" t="s">
        <v>294</v>
      </c>
      <c r="C114" s="34" t="s">
        <v>295</v>
      </c>
      <c r="D114" s="29">
        <v>46167.088460648149</v>
      </c>
      <c r="E114" s="34" t="s">
        <v>287</v>
      </c>
      <c r="F114" t="b">
        <v>1</v>
      </c>
      <c r="G114" s="34" t="s">
        <v>220</v>
      </c>
      <c r="H114" t="b">
        <v>0</v>
      </c>
    </row>
    <row r="115" spans="1:8" x14ac:dyDescent="0.35">
      <c r="A115" s="34" t="s">
        <v>789</v>
      </c>
      <c r="B115" s="34" t="s">
        <v>294</v>
      </c>
      <c r="C115" s="34" t="s">
        <v>295</v>
      </c>
      <c r="D115" s="29">
        <v>46167.088217592594</v>
      </c>
      <c r="E115" s="34" t="s">
        <v>287</v>
      </c>
      <c r="F115" t="b">
        <v>1</v>
      </c>
      <c r="G115" s="34" t="s">
        <v>220</v>
      </c>
      <c r="H115" t="b">
        <v>0</v>
      </c>
    </row>
    <row r="116" spans="1:8" x14ac:dyDescent="0.35">
      <c r="A116" s="34" t="s">
        <v>299</v>
      </c>
      <c r="B116" s="34" t="s">
        <v>300</v>
      </c>
      <c r="C116" s="34" t="s">
        <v>301</v>
      </c>
      <c r="D116" s="29">
        <v>46166.271423611113</v>
      </c>
      <c r="E116" s="34" t="s">
        <v>287</v>
      </c>
      <c r="F116" t="b">
        <v>1</v>
      </c>
      <c r="G116" s="34" t="s">
        <v>222</v>
      </c>
      <c r="H116" t="b">
        <v>0</v>
      </c>
    </row>
    <row r="117" spans="1:8" x14ac:dyDescent="0.35">
      <c r="A117" s="34" t="s">
        <v>790</v>
      </c>
      <c r="B117" s="34" t="s">
        <v>294</v>
      </c>
      <c r="C117" s="34" t="s">
        <v>295</v>
      </c>
      <c r="D117" s="29">
        <v>46166.233252314814</v>
      </c>
      <c r="E117" s="34" t="s">
        <v>287</v>
      </c>
      <c r="F117" t="b">
        <v>1</v>
      </c>
      <c r="G117" s="34" t="s">
        <v>222</v>
      </c>
      <c r="H117" t="b">
        <v>0</v>
      </c>
    </row>
    <row r="118" spans="1:8" x14ac:dyDescent="0.35">
      <c r="A118" s="34" t="s">
        <v>791</v>
      </c>
      <c r="B118" s="34" t="s">
        <v>294</v>
      </c>
      <c r="C118" s="34" t="s">
        <v>295</v>
      </c>
      <c r="D118" s="29">
        <v>46166.233240740738</v>
      </c>
      <c r="E118" s="34" t="s">
        <v>287</v>
      </c>
      <c r="F118" t="b">
        <v>1</v>
      </c>
      <c r="G118" s="34" t="s">
        <v>222</v>
      </c>
      <c r="H118" t="b">
        <v>0</v>
      </c>
    </row>
    <row r="119" spans="1:8" x14ac:dyDescent="0.35">
      <c r="A119" s="34" t="s">
        <v>299</v>
      </c>
      <c r="B119" s="34" t="s">
        <v>300</v>
      </c>
      <c r="C119" s="34" t="s">
        <v>301</v>
      </c>
      <c r="D119" s="29">
        <v>46165.271111111113</v>
      </c>
      <c r="E119" s="34" t="s">
        <v>287</v>
      </c>
      <c r="F119" t="b">
        <v>1</v>
      </c>
      <c r="G119" s="34" t="s">
        <v>222</v>
      </c>
      <c r="H119" t="b">
        <v>0</v>
      </c>
    </row>
    <row r="120" spans="1:8" x14ac:dyDescent="0.35">
      <c r="A120" s="34" t="s">
        <v>663</v>
      </c>
      <c r="B120" s="34" t="s">
        <v>294</v>
      </c>
      <c r="C120" s="34" t="s">
        <v>295</v>
      </c>
      <c r="D120" s="29">
        <v>46165.152604166666</v>
      </c>
      <c r="E120" s="34" t="s">
        <v>287</v>
      </c>
      <c r="F120" t="b">
        <v>1</v>
      </c>
      <c r="G120" s="34" t="s">
        <v>222</v>
      </c>
      <c r="H120" t="b">
        <v>0</v>
      </c>
    </row>
    <row r="121" spans="1:8" x14ac:dyDescent="0.35">
      <c r="A121" s="34" t="s">
        <v>780</v>
      </c>
      <c r="B121" s="34" t="s">
        <v>285</v>
      </c>
      <c r="C121" s="34" t="s">
        <v>286</v>
      </c>
      <c r="D121" s="29">
        <v>46164.548298611109</v>
      </c>
      <c r="E121" s="34" t="s">
        <v>287</v>
      </c>
      <c r="F121" t="b">
        <v>1</v>
      </c>
      <c r="G121" s="34" t="s">
        <v>226</v>
      </c>
      <c r="H121" t="b">
        <v>0</v>
      </c>
    </row>
    <row r="122" spans="1:8" x14ac:dyDescent="0.35">
      <c r="A122" s="34" t="s">
        <v>792</v>
      </c>
      <c r="B122" s="34" t="s">
        <v>285</v>
      </c>
      <c r="C122" s="34" t="s">
        <v>286</v>
      </c>
      <c r="D122" s="29">
        <v>46164.540590277778</v>
      </c>
      <c r="E122" s="34" t="s">
        <v>287</v>
      </c>
      <c r="F122" t="b">
        <v>1</v>
      </c>
      <c r="G122" s="34" t="s">
        <v>222</v>
      </c>
      <c r="H122" t="b">
        <v>0</v>
      </c>
    </row>
    <row r="123" spans="1:8" x14ac:dyDescent="0.35">
      <c r="A123" s="34" t="s">
        <v>792</v>
      </c>
      <c r="B123" s="34" t="s">
        <v>285</v>
      </c>
      <c r="C123" s="34" t="s">
        <v>286</v>
      </c>
      <c r="D123" s="29">
        <v>46164.538425925923</v>
      </c>
      <c r="E123" s="34" t="s">
        <v>287</v>
      </c>
      <c r="F123" t="b">
        <v>1</v>
      </c>
      <c r="G123" s="34" t="s">
        <v>793</v>
      </c>
      <c r="H123" t="b">
        <v>0</v>
      </c>
    </row>
    <row r="124" spans="1:8" x14ac:dyDescent="0.35">
      <c r="A124" s="34" t="s">
        <v>792</v>
      </c>
      <c r="B124" s="34" t="s">
        <v>225</v>
      </c>
      <c r="C124" s="34" t="s">
        <v>353</v>
      </c>
      <c r="D124" s="29">
        <v>46164.513715277775</v>
      </c>
      <c r="E124" s="34" t="s">
        <v>287</v>
      </c>
      <c r="F124" t="b">
        <v>1</v>
      </c>
      <c r="G124" s="34" t="s">
        <v>222</v>
      </c>
      <c r="H124" t="b">
        <v>0</v>
      </c>
    </row>
    <row r="125" spans="1:8" x14ac:dyDescent="0.35">
      <c r="A125" s="34" t="s">
        <v>636</v>
      </c>
      <c r="B125" s="34" t="s">
        <v>285</v>
      </c>
      <c r="C125" s="34" t="s">
        <v>286</v>
      </c>
      <c r="D125" s="29">
        <v>46164.437754629631</v>
      </c>
      <c r="E125" s="34" t="s">
        <v>287</v>
      </c>
      <c r="F125" t="b">
        <v>1</v>
      </c>
      <c r="G125" s="34" t="s">
        <v>288</v>
      </c>
      <c r="H125" t="b">
        <v>0</v>
      </c>
    </row>
    <row r="126" spans="1:8" x14ac:dyDescent="0.35">
      <c r="A126" s="34" t="s">
        <v>636</v>
      </c>
      <c r="B126" s="34" t="s">
        <v>504</v>
      </c>
      <c r="C126" s="34" t="s">
        <v>505</v>
      </c>
      <c r="D126" s="29">
        <v>46164.422812500001</v>
      </c>
      <c r="E126" s="34" t="s">
        <v>287</v>
      </c>
      <c r="F126" t="b">
        <v>1</v>
      </c>
      <c r="G126" s="34" t="s">
        <v>226</v>
      </c>
      <c r="H126" t="b">
        <v>0</v>
      </c>
    </row>
    <row r="127" spans="1:8" x14ac:dyDescent="0.35">
      <c r="A127" s="34" t="s">
        <v>299</v>
      </c>
      <c r="B127" s="34" t="s">
        <v>300</v>
      </c>
      <c r="C127" s="34" t="s">
        <v>301</v>
      </c>
      <c r="D127" s="29">
        <v>46164.271134259259</v>
      </c>
      <c r="E127" s="34" t="s">
        <v>287</v>
      </c>
      <c r="F127" t="b">
        <v>1</v>
      </c>
      <c r="G127" s="34" t="s">
        <v>302</v>
      </c>
      <c r="H127" t="b">
        <v>0</v>
      </c>
    </row>
    <row r="128" spans="1:8" x14ac:dyDescent="0.35">
      <c r="A128" s="34" t="s">
        <v>794</v>
      </c>
      <c r="B128" s="34" t="s">
        <v>285</v>
      </c>
      <c r="C128" s="34" t="s">
        <v>286</v>
      </c>
      <c r="D128" s="29">
        <v>46163.891284722224</v>
      </c>
      <c r="E128" s="34" t="s">
        <v>287</v>
      </c>
      <c r="F128" t="b">
        <v>1</v>
      </c>
      <c r="G128" s="34" t="s">
        <v>226</v>
      </c>
      <c r="H128" t="b">
        <v>0</v>
      </c>
    </row>
    <row r="129" spans="1:8" x14ac:dyDescent="0.35">
      <c r="A129" s="34" t="s">
        <v>795</v>
      </c>
      <c r="B129" s="34" t="s">
        <v>315</v>
      </c>
      <c r="C129" s="34" t="s">
        <v>316</v>
      </c>
      <c r="D129" s="29">
        <v>46163.882939814815</v>
      </c>
      <c r="E129" s="34" t="s">
        <v>287</v>
      </c>
      <c r="F129" t="b">
        <v>1</v>
      </c>
      <c r="G129" s="34" t="s">
        <v>226</v>
      </c>
      <c r="H129" t="b">
        <v>0</v>
      </c>
    </row>
    <row r="130" spans="1:8" x14ac:dyDescent="0.35">
      <c r="A130" s="34" t="s">
        <v>796</v>
      </c>
      <c r="B130" s="34" t="s">
        <v>409</v>
      </c>
      <c r="C130" s="34" t="s">
        <v>410</v>
      </c>
      <c r="D130" s="29">
        <v>46163.868923611109</v>
      </c>
      <c r="E130" s="34" t="s">
        <v>287</v>
      </c>
      <c r="F130" t="b">
        <v>1</v>
      </c>
      <c r="G130" s="34" t="s">
        <v>226</v>
      </c>
      <c r="H130" t="b">
        <v>0</v>
      </c>
    </row>
    <row r="131" spans="1:8" x14ac:dyDescent="0.35">
      <c r="A131" s="34" t="s">
        <v>797</v>
      </c>
      <c r="B131" s="34" t="s">
        <v>294</v>
      </c>
      <c r="C131" s="34" t="s">
        <v>295</v>
      </c>
      <c r="D131" s="29">
        <v>46163.861493055556</v>
      </c>
      <c r="E131" s="34" t="s">
        <v>287</v>
      </c>
      <c r="F131" t="b">
        <v>1</v>
      </c>
      <c r="G131" s="34" t="s">
        <v>413</v>
      </c>
      <c r="H131" t="b">
        <v>0</v>
      </c>
    </row>
    <row r="132" spans="1:8" x14ac:dyDescent="0.35">
      <c r="A132" s="34" t="s">
        <v>798</v>
      </c>
      <c r="B132" s="34" t="s">
        <v>799</v>
      </c>
      <c r="C132" s="34" t="s">
        <v>800</v>
      </c>
      <c r="D132" s="29">
        <v>46163.709004629629</v>
      </c>
      <c r="E132" s="34" t="s">
        <v>287</v>
      </c>
      <c r="F132" t="b">
        <v>1</v>
      </c>
      <c r="G132" s="34" t="s">
        <v>288</v>
      </c>
      <c r="H132" t="b">
        <v>0</v>
      </c>
    </row>
    <row r="133" spans="1:8" x14ac:dyDescent="0.35">
      <c r="A133" s="34" t="s">
        <v>798</v>
      </c>
      <c r="B133" s="34" t="s">
        <v>285</v>
      </c>
      <c r="C133" s="34" t="s">
        <v>286</v>
      </c>
      <c r="D133" s="29">
        <v>46163.655474537038</v>
      </c>
      <c r="E133" s="34" t="s">
        <v>287</v>
      </c>
      <c r="F133" t="b">
        <v>1</v>
      </c>
      <c r="G133" s="34" t="s">
        <v>801</v>
      </c>
      <c r="H133" t="b">
        <v>0</v>
      </c>
    </row>
    <row r="134" spans="1:8" x14ac:dyDescent="0.35">
      <c r="A134" s="34" t="s">
        <v>780</v>
      </c>
      <c r="B134" s="34" t="s">
        <v>285</v>
      </c>
      <c r="C134" s="34" t="s">
        <v>286</v>
      </c>
      <c r="D134" s="29">
        <v>46163.625555555554</v>
      </c>
      <c r="E134" s="34" t="s">
        <v>287</v>
      </c>
      <c r="F134" t="b">
        <v>1</v>
      </c>
      <c r="G134" s="34" t="s">
        <v>226</v>
      </c>
      <c r="H134" t="b">
        <v>0</v>
      </c>
    </row>
    <row r="135" spans="1:8" x14ac:dyDescent="0.35">
      <c r="A135" s="34" t="s">
        <v>802</v>
      </c>
      <c r="B135" s="34" t="s">
        <v>294</v>
      </c>
      <c r="C135" s="34" t="s">
        <v>295</v>
      </c>
      <c r="D135" s="29">
        <v>46163.590462962966</v>
      </c>
      <c r="E135" s="34" t="s">
        <v>287</v>
      </c>
      <c r="F135" t="b">
        <v>1</v>
      </c>
      <c r="G135" s="34" t="s">
        <v>380</v>
      </c>
      <c r="H135" t="b">
        <v>0</v>
      </c>
    </row>
    <row r="136" spans="1:8" x14ac:dyDescent="0.35">
      <c r="A136" s="34" t="s">
        <v>780</v>
      </c>
      <c r="B136" s="34" t="s">
        <v>784</v>
      </c>
      <c r="C136" s="34" t="s">
        <v>785</v>
      </c>
      <c r="D136" s="29">
        <v>46163.567395833335</v>
      </c>
      <c r="E136" s="34" t="s">
        <v>287</v>
      </c>
      <c r="F136" t="b">
        <v>1</v>
      </c>
      <c r="G136" s="34" t="s">
        <v>222</v>
      </c>
      <c r="H136" t="b">
        <v>0</v>
      </c>
    </row>
    <row r="137" spans="1:8" x14ac:dyDescent="0.35">
      <c r="A137" s="34" t="s">
        <v>780</v>
      </c>
      <c r="B137" s="34" t="s">
        <v>285</v>
      </c>
      <c r="C137" s="34" t="s">
        <v>286</v>
      </c>
      <c r="D137" s="29">
        <v>46163.542592592596</v>
      </c>
      <c r="E137" s="34" t="s">
        <v>287</v>
      </c>
      <c r="F137" t="b">
        <v>1</v>
      </c>
      <c r="G137" s="34" t="s">
        <v>803</v>
      </c>
      <c r="H137" t="b">
        <v>0</v>
      </c>
    </row>
    <row r="138" spans="1:8" x14ac:dyDescent="0.35">
      <c r="A138" s="34" t="s">
        <v>804</v>
      </c>
      <c r="B138" s="34" t="s">
        <v>294</v>
      </c>
      <c r="C138" s="34" t="s">
        <v>295</v>
      </c>
      <c r="D138" s="29">
        <v>46163.534560185188</v>
      </c>
      <c r="E138" s="34" t="s">
        <v>287</v>
      </c>
      <c r="F138" t="b">
        <v>1</v>
      </c>
      <c r="G138" s="34" t="s">
        <v>380</v>
      </c>
      <c r="H138" t="b">
        <v>0</v>
      </c>
    </row>
    <row r="139" spans="1:8" x14ac:dyDescent="0.35">
      <c r="A139" s="34" t="s">
        <v>780</v>
      </c>
      <c r="B139" s="34" t="s">
        <v>784</v>
      </c>
      <c r="C139" s="34" t="s">
        <v>785</v>
      </c>
      <c r="D139" s="29">
        <v>46163.517847222225</v>
      </c>
      <c r="E139" s="34" t="s">
        <v>287</v>
      </c>
      <c r="F139" t="b">
        <v>1</v>
      </c>
      <c r="G139" s="34" t="s">
        <v>222</v>
      </c>
      <c r="H139" t="b">
        <v>0</v>
      </c>
    </row>
    <row r="140" spans="1:8" x14ac:dyDescent="0.35">
      <c r="A140" s="34" t="s">
        <v>798</v>
      </c>
      <c r="B140" s="34" t="s">
        <v>799</v>
      </c>
      <c r="C140" s="34" t="s">
        <v>800</v>
      </c>
      <c r="D140" s="29">
        <v>46163.501458333332</v>
      </c>
      <c r="E140" s="34" t="s">
        <v>287</v>
      </c>
      <c r="F140" t="b">
        <v>1</v>
      </c>
      <c r="G140" s="34" t="s">
        <v>226</v>
      </c>
      <c r="H140" t="b">
        <v>0</v>
      </c>
    </row>
    <row r="141" spans="1:8" x14ac:dyDescent="0.35">
      <c r="A141" s="34" t="s">
        <v>805</v>
      </c>
      <c r="B141" s="34" t="s">
        <v>315</v>
      </c>
      <c r="C141" s="34" t="s">
        <v>316</v>
      </c>
      <c r="D141" s="29">
        <v>46163.479803240742</v>
      </c>
      <c r="E141" s="34" t="s">
        <v>287</v>
      </c>
      <c r="F141" t="b">
        <v>1</v>
      </c>
      <c r="G141" s="34" t="s">
        <v>288</v>
      </c>
      <c r="H141" t="b">
        <v>0</v>
      </c>
    </row>
    <row r="142" spans="1:8" x14ac:dyDescent="0.35">
      <c r="A142" s="34" t="s">
        <v>806</v>
      </c>
      <c r="B142" s="34" t="s">
        <v>285</v>
      </c>
      <c r="C142" s="34" t="s">
        <v>286</v>
      </c>
      <c r="D142" s="29">
        <v>46163.478136574071</v>
      </c>
      <c r="E142" s="34" t="s">
        <v>287</v>
      </c>
      <c r="F142" t="b">
        <v>1</v>
      </c>
      <c r="G142" s="34" t="s">
        <v>226</v>
      </c>
      <c r="H142" t="b">
        <v>1</v>
      </c>
    </row>
    <row r="143" spans="1:8" x14ac:dyDescent="0.35">
      <c r="A143" s="34" t="s">
        <v>299</v>
      </c>
      <c r="B143" s="34" t="s">
        <v>300</v>
      </c>
      <c r="C143" s="34" t="s">
        <v>301</v>
      </c>
      <c r="D143" s="29">
        <v>46163.271018518521</v>
      </c>
      <c r="E143" s="34" t="s">
        <v>287</v>
      </c>
      <c r="F143" t="b">
        <v>1</v>
      </c>
      <c r="G143" s="34" t="s">
        <v>222</v>
      </c>
      <c r="H143" t="b">
        <v>0</v>
      </c>
    </row>
    <row r="144" spans="1:8" x14ac:dyDescent="0.35">
      <c r="A144" s="34" t="s">
        <v>780</v>
      </c>
      <c r="B144" s="34" t="s">
        <v>285</v>
      </c>
      <c r="C144" s="34" t="s">
        <v>286</v>
      </c>
      <c r="D144" s="29">
        <v>46162.80840277778</v>
      </c>
      <c r="E144" s="34" t="s">
        <v>287</v>
      </c>
      <c r="F144" t="b">
        <v>1</v>
      </c>
      <c r="G144" s="34" t="s">
        <v>226</v>
      </c>
      <c r="H144" t="b">
        <v>0</v>
      </c>
    </row>
    <row r="145" spans="1:8" x14ac:dyDescent="0.35">
      <c r="A145" s="34" t="s">
        <v>780</v>
      </c>
      <c r="B145" s="34" t="s">
        <v>784</v>
      </c>
      <c r="C145" s="34" t="s">
        <v>785</v>
      </c>
      <c r="D145" s="29">
        <v>46162.708344907405</v>
      </c>
      <c r="E145" s="34" t="s">
        <v>287</v>
      </c>
      <c r="F145" t="b">
        <v>1</v>
      </c>
      <c r="G145" s="34" t="s">
        <v>222</v>
      </c>
      <c r="H145" t="b">
        <v>0</v>
      </c>
    </row>
    <row r="146" spans="1:8" x14ac:dyDescent="0.35">
      <c r="A146" s="34" t="s">
        <v>780</v>
      </c>
      <c r="B146" s="34" t="s">
        <v>285</v>
      </c>
      <c r="C146" s="34" t="s">
        <v>286</v>
      </c>
      <c r="D146" s="29">
        <v>46162.699467592596</v>
      </c>
      <c r="E146" s="34" t="s">
        <v>287</v>
      </c>
      <c r="F146" t="b">
        <v>1</v>
      </c>
      <c r="G146" s="34" t="s">
        <v>288</v>
      </c>
      <c r="H146" t="b">
        <v>1</v>
      </c>
    </row>
    <row r="147" spans="1:8" x14ac:dyDescent="0.35">
      <c r="A147" s="34" t="s">
        <v>669</v>
      </c>
      <c r="B147" s="34" t="s">
        <v>285</v>
      </c>
      <c r="C147" s="34" t="s">
        <v>286</v>
      </c>
      <c r="D147" s="29">
        <v>46162.564131944448</v>
      </c>
      <c r="E147" s="34" t="s">
        <v>287</v>
      </c>
      <c r="F147" t="b">
        <v>1</v>
      </c>
      <c r="G147" s="34" t="s">
        <v>226</v>
      </c>
      <c r="H147" t="b">
        <v>0</v>
      </c>
    </row>
    <row r="148" spans="1:8" x14ac:dyDescent="0.35">
      <c r="A148" s="34" t="s">
        <v>663</v>
      </c>
      <c r="B148" s="34" t="s">
        <v>294</v>
      </c>
      <c r="C148" s="34" t="s">
        <v>295</v>
      </c>
      <c r="D148" s="29">
        <v>46162.496527777781</v>
      </c>
      <c r="E148" s="34" t="s">
        <v>287</v>
      </c>
      <c r="F148" t="b">
        <v>1</v>
      </c>
      <c r="G148" s="34" t="s">
        <v>412</v>
      </c>
      <c r="H148" t="b">
        <v>0</v>
      </c>
    </row>
    <row r="149" spans="1:8" x14ac:dyDescent="0.35">
      <c r="A149" s="34" t="s">
        <v>780</v>
      </c>
      <c r="B149" s="34" t="s">
        <v>784</v>
      </c>
      <c r="C149" s="34" t="s">
        <v>785</v>
      </c>
      <c r="D149" s="29">
        <v>46162.389305555553</v>
      </c>
      <c r="E149" s="34" t="s">
        <v>287</v>
      </c>
      <c r="F149" t="b">
        <v>1</v>
      </c>
      <c r="G149" s="34" t="s">
        <v>222</v>
      </c>
      <c r="H149" t="b">
        <v>0</v>
      </c>
    </row>
    <row r="150" spans="1:8" x14ac:dyDescent="0.35">
      <c r="A150" s="34" t="s">
        <v>780</v>
      </c>
      <c r="B150" s="34" t="s">
        <v>285</v>
      </c>
      <c r="C150" s="34" t="s">
        <v>286</v>
      </c>
      <c r="D150" s="29">
        <v>46162.385729166665</v>
      </c>
      <c r="E150" s="34" t="s">
        <v>287</v>
      </c>
      <c r="F150" t="b">
        <v>1</v>
      </c>
      <c r="G150" s="34" t="s">
        <v>222</v>
      </c>
      <c r="H150" t="b">
        <v>0</v>
      </c>
    </row>
    <row r="151" spans="1:8" x14ac:dyDescent="0.35">
      <c r="A151" s="34" t="s">
        <v>636</v>
      </c>
      <c r="B151" s="34" t="s">
        <v>504</v>
      </c>
      <c r="C151" s="34" t="s">
        <v>505</v>
      </c>
      <c r="D151" s="29">
        <v>46162.378333333334</v>
      </c>
      <c r="E151" s="34" t="s">
        <v>287</v>
      </c>
      <c r="F151" t="b">
        <v>1</v>
      </c>
      <c r="G151" s="34" t="s">
        <v>288</v>
      </c>
      <c r="H151" t="b">
        <v>1</v>
      </c>
    </row>
    <row r="152" spans="1:8" x14ac:dyDescent="0.35">
      <c r="A152" s="34" t="s">
        <v>780</v>
      </c>
      <c r="B152" s="34" t="s">
        <v>784</v>
      </c>
      <c r="C152" s="34" t="s">
        <v>785</v>
      </c>
      <c r="D152" s="29">
        <v>46162.375254629631</v>
      </c>
      <c r="E152" s="34" t="s">
        <v>287</v>
      </c>
      <c r="F152" t="b">
        <v>1</v>
      </c>
      <c r="G152" s="34" t="s">
        <v>222</v>
      </c>
      <c r="H152" t="b">
        <v>0</v>
      </c>
    </row>
    <row r="153" spans="1:8" x14ac:dyDescent="0.35">
      <c r="A153" s="34" t="s">
        <v>299</v>
      </c>
      <c r="B153" s="34" t="s">
        <v>300</v>
      </c>
      <c r="C153" s="34" t="s">
        <v>301</v>
      </c>
      <c r="D153" s="29">
        <v>46162.271435185183</v>
      </c>
      <c r="E153" s="34" t="s">
        <v>287</v>
      </c>
      <c r="F153" t="b">
        <v>1</v>
      </c>
      <c r="G153" s="34" t="s">
        <v>222</v>
      </c>
      <c r="H153" t="b">
        <v>0</v>
      </c>
    </row>
    <row r="154" spans="1:8" x14ac:dyDescent="0.35">
      <c r="A154" s="34" t="s">
        <v>807</v>
      </c>
      <c r="B154" s="34" t="s">
        <v>310</v>
      </c>
      <c r="C154" s="34" t="s">
        <v>311</v>
      </c>
      <c r="D154" s="29">
        <v>46161.88554398148</v>
      </c>
      <c r="E154" s="34" t="s">
        <v>287</v>
      </c>
      <c r="F154" t="b">
        <v>1</v>
      </c>
      <c r="G154" s="34" t="s">
        <v>222</v>
      </c>
      <c r="H154" t="b">
        <v>1</v>
      </c>
    </row>
    <row r="155" spans="1:8" x14ac:dyDescent="0.35">
      <c r="A155" s="34" t="s">
        <v>780</v>
      </c>
      <c r="B155" s="34" t="s">
        <v>285</v>
      </c>
      <c r="C155" s="34" t="s">
        <v>286</v>
      </c>
      <c r="D155" s="29">
        <v>46161.774629629632</v>
      </c>
      <c r="E155" s="34" t="s">
        <v>287</v>
      </c>
      <c r="F155" t="b">
        <v>1</v>
      </c>
      <c r="G155" s="34" t="s">
        <v>226</v>
      </c>
      <c r="H155" t="b">
        <v>0</v>
      </c>
    </row>
    <row r="156" spans="1:8" x14ac:dyDescent="0.35">
      <c r="A156" s="34" t="s">
        <v>780</v>
      </c>
      <c r="B156" s="34" t="s">
        <v>285</v>
      </c>
      <c r="C156" s="34" t="s">
        <v>286</v>
      </c>
      <c r="D156" s="29">
        <v>46161.713854166665</v>
      </c>
      <c r="E156" s="34" t="s">
        <v>287</v>
      </c>
      <c r="F156" t="b">
        <v>1</v>
      </c>
      <c r="G156" s="34" t="s">
        <v>226</v>
      </c>
      <c r="H156" t="b">
        <v>0</v>
      </c>
    </row>
    <row r="157" spans="1:8" x14ac:dyDescent="0.35">
      <c r="A157" s="34" t="s">
        <v>780</v>
      </c>
      <c r="B157" s="34" t="s">
        <v>784</v>
      </c>
      <c r="C157" s="34" t="s">
        <v>785</v>
      </c>
      <c r="D157" s="29">
        <v>46161.70685185185</v>
      </c>
      <c r="E157" s="34" t="s">
        <v>287</v>
      </c>
      <c r="F157" t="b">
        <v>1</v>
      </c>
      <c r="G157" s="34" t="s">
        <v>226</v>
      </c>
      <c r="H157" t="b">
        <v>0</v>
      </c>
    </row>
    <row r="158" spans="1:8" x14ac:dyDescent="0.35">
      <c r="A158" s="34" t="s">
        <v>808</v>
      </c>
      <c r="B158" s="34" t="s">
        <v>324</v>
      </c>
      <c r="C158" s="34" t="s">
        <v>325</v>
      </c>
      <c r="D158" s="29">
        <v>46161.681701388887</v>
      </c>
      <c r="E158" s="34" t="s">
        <v>287</v>
      </c>
      <c r="F158" t="b">
        <v>1</v>
      </c>
      <c r="G158" s="34" t="s">
        <v>226</v>
      </c>
      <c r="H158" t="b">
        <v>0</v>
      </c>
    </row>
    <row r="159" spans="1:8" x14ac:dyDescent="0.35">
      <c r="A159" s="34" t="s">
        <v>780</v>
      </c>
      <c r="B159" s="34" t="s">
        <v>297</v>
      </c>
      <c r="C159" s="34" t="s">
        <v>298</v>
      </c>
      <c r="D159" s="29">
        <v>46161.496041666665</v>
      </c>
      <c r="E159" s="34" t="s">
        <v>287</v>
      </c>
      <c r="F159" t="b">
        <v>1</v>
      </c>
      <c r="G159" s="34" t="s">
        <v>226</v>
      </c>
      <c r="H159" t="b">
        <v>0</v>
      </c>
    </row>
    <row r="160" spans="1:8" x14ac:dyDescent="0.35">
      <c r="A160" s="34" t="s">
        <v>299</v>
      </c>
      <c r="B160" s="34" t="s">
        <v>300</v>
      </c>
      <c r="C160" s="34" t="s">
        <v>301</v>
      </c>
      <c r="D160" s="29">
        <v>46161.271192129629</v>
      </c>
      <c r="E160" s="34" t="s">
        <v>287</v>
      </c>
      <c r="F160" t="b">
        <v>1</v>
      </c>
      <c r="G160" s="34" t="s">
        <v>222</v>
      </c>
      <c r="H160" t="b">
        <v>0</v>
      </c>
    </row>
    <row r="161" spans="1:8" x14ac:dyDescent="0.35">
      <c r="A161" s="34" t="s">
        <v>809</v>
      </c>
      <c r="B161" s="34" t="s">
        <v>294</v>
      </c>
      <c r="C161" s="34" t="s">
        <v>295</v>
      </c>
      <c r="D161" s="29">
        <v>46160.949502314812</v>
      </c>
      <c r="E161" s="34" t="s">
        <v>287</v>
      </c>
      <c r="F161" t="b">
        <v>1</v>
      </c>
      <c r="G161" s="34" t="s">
        <v>223</v>
      </c>
      <c r="H161" t="b">
        <v>0</v>
      </c>
    </row>
    <row r="162" spans="1:8" x14ac:dyDescent="0.35">
      <c r="A162" s="34" t="s">
        <v>681</v>
      </c>
      <c r="B162" s="34" t="s">
        <v>227</v>
      </c>
      <c r="C162" s="34" t="s">
        <v>291</v>
      </c>
      <c r="D162" s="29">
        <v>46160.828090277777</v>
      </c>
      <c r="E162" s="34" t="s">
        <v>287</v>
      </c>
      <c r="F162" t="b">
        <v>1</v>
      </c>
      <c r="G162" s="34" t="s">
        <v>222</v>
      </c>
      <c r="H162" t="b">
        <v>0</v>
      </c>
    </row>
    <row r="163" spans="1:8" x14ac:dyDescent="0.35">
      <c r="A163" s="34" t="s">
        <v>681</v>
      </c>
      <c r="B163" s="34" t="s">
        <v>682</v>
      </c>
      <c r="C163" s="34" t="s">
        <v>683</v>
      </c>
      <c r="D163" s="29">
        <v>46160.729189814818</v>
      </c>
      <c r="E163" s="34" t="s">
        <v>287</v>
      </c>
      <c r="F163" t="b">
        <v>1</v>
      </c>
      <c r="G163" s="34" t="s">
        <v>290</v>
      </c>
      <c r="H163" t="b">
        <v>0</v>
      </c>
    </row>
    <row r="164" spans="1:8" x14ac:dyDescent="0.35">
      <c r="A164" s="34" t="s">
        <v>663</v>
      </c>
      <c r="B164" s="34" t="s">
        <v>294</v>
      </c>
      <c r="C164" s="34" t="s">
        <v>295</v>
      </c>
      <c r="D164" s="29">
        <v>46160.600034722222</v>
      </c>
      <c r="E164" s="34" t="s">
        <v>287</v>
      </c>
      <c r="F164" t="b">
        <v>1</v>
      </c>
      <c r="G164" s="34" t="s">
        <v>412</v>
      </c>
      <c r="H164" t="b">
        <v>0</v>
      </c>
    </row>
    <row r="165" spans="1:8" x14ac:dyDescent="0.35">
      <c r="A165" s="34" t="s">
        <v>664</v>
      </c>
      <c r="B165" s="34" t="s">
        <v>297</v>
      </c>
      <c r="C165" s="34" t="s">
        <v>298</v>
      </c>
      <c r="D165" s="29">
        <v>46160.397962962961</v>
      </c>
      <c r="E165" s="34" t="s">
        <v>287</v>
      </c>
      <c r="F165" t="b">
        <v>1</v>
      </c>
      <c r="G165" s="34" t="s">
        <v>222</v>
      </c>
      <c r="H165" t="b">
        <v>0</v>
      </c>
    </row>
    <row r="166" spans="1:8" x14ac:dyDescent="0.35">
      <c r="A166" s="34" t="s">
        <v>299</v>
      </c>
      <c r="B166" s="34" t="s">
        <v>300</v>
      </c>
      <c r="C166" s="34" t="s">
        <v>301</v>
      </c>
      <c r="D166" s="29">
        <v>46160.270960648151</v>
      </c>
      <c r="E166" s="34" t="s">
        <v>287</v>
      </c>
      <c r="F166" t="b">
        <v>1</v>
      </c>
      <c r="G166" s="34" t="s">
        <v>222</v>
      </c>
      <c r="H166" t="b">
        <v>0</v>
      </c>
    </row>
    <row r="167" spans="1:8" x14ac:dyDescent="0.35">
      <c r="A167" s="34" t="s">
        <v>299</v>
      </c>
      <c r="B167" s="34" t="s">
        <v>300</v>
      </c>
      <c r="C167" s="34" t="s">
        <v>301</v>
      </c>
      <c r="D167" s="29">
        <v>46159.27107638889</v>
      </c>
      <c r="E167" s="34" t="s">
        <v>287</v>
      </c>
      <c r="F167" t="b">
        <v>1</v>
      </c>
      <c r="G167" s="34" t="s">
        <v>222</v>
      </c>
      <c r="H167" t="b">
        <v>0</v>
      </c>
    </row>
    <row r="168" spans="1:8" x14ac:dyDescent="0.35">
      <c r="A168" s="34" t="s">
        <v>299</v>
      </c>
      <c r="B168" s="34" t="s">
        <v>300</v>
      </c>
      <c r="C168" s="34" t="s">
        <v>301</v>
      </c>
      <c r="D168" s="29">
        <v>46158.271053240744</v>
      </c>
      <c r="E168" s="34" t="s">
        <v>287</v>
      </c>
      <c r="F168" t="b">
        <v>1</v>
      </c>
      <c r="G168" s="34" t="s">
        <v>222</v>
      </c>
      <c r="H168" t="b">
        <v>0</v>
      </c>
    </row>
    <row r="169" spans="1:8" x14ac:dyDescent="0.35">
      <c r="A169" s="34" t="s">
        <v>665</v>
      </c>
      <c r="B169" s="34" t="s">
        <v>294</v>
      </c>
      <c r="C169" s="34" t="s">
        <v>295</v>
      </c>
      <c r="D169" s="29">
        <v>46157.673483796294</v>
      </c>
      <c r="E169" s="34" t="s">
        <v>287</v>
      </c>
      <c r="F169" t="b">
        <v>1</v>
      </c>
      <c r="G169" s="34" t="s">
        <v>288</v>
      </c>
      <c r="H169" t="b">
        <v>0</v>
      </c>
    </row>
    <row r="170" spans="1:8" x14ac:dyDescent="0.35">
      <c r="A170" s="34" t="s">
        <v>666</v>
      </c>
      <c r="B170" s="34" t="s">
        <v>667</v>
      </c>
      <c r="C170" s="34" t="s">
        <v>668</v>
      </c>
      <c r="D170" s="29">
        <v>46157.560347222221</v>
      </c>
      <c r="E170" s="34" t="s">
        <v>287</v>
      </c>
      <c r="F170" t="b">
        <v>1</v>
      </c>
      <c r="G170" s="34" t="s">
        <v>288</v>
      </c>
      <c r="H170" t="b">
        <v>0</v>
      </c>
    </row>
    <row r="171" spans="1:8" x14ac:dyDescent="0.35">
      <c r="A171" s="34" t="s">
        <v>299</v>
      </c>
      <c r="B171" s="34" t="s">
        <v>300</v>
      </c>
      <c r="C171" s="34" t="s">
        <v>301</v>
      </c>
      <c r="D171" s="29">
        <v>46157.271273148152</v>
      </c>
      <c r="E171" s="34" t="s">
        <v>287</v>
      </c>
      <c r="F171" t="b">
        <v>1</v>
      </c>
      <c r="G171" s="34" t="s">
        <v>222</v>
      </c>
      <c r="H171" t="b">
        <v>0</v>
      </c>
    </row>
    <row r="172" spans="1:8" x14ac:dyDescent="0.35">
      <c r="A172" s="34" t="s">
        <v>669</v>
      </c>
      <c r="B172" s="34" t="s">
        <v>285</v>
      </c>
      <c r="C172" s="34" t="s">
        <v>286</v>
      </c>
      <c r="D172" s="29">
        <v>46156.823842592596</v>
      </c>
      <c r="E172" s="34" t="s">
        <v>287</v>
      </c>
      <c r="F172" t="b">
        <v>1</v>
      </c>
      <c r="G172" s="34" t="s">
        <v>222</v>
      </c>
      <c r="H172" t="b">
        <v>0</v>
      </c>
    </row>
    <row r="173" spans="1:8" x14ac:dyDescent="0.35">
      <c r="A173" s="34" t="s">
        <v>670</v>
      </c>
      <c r="B173" s="34" t="s">
        <v>285</v>
      </c>
      <c r="C173" s="34" t="s">
        <v>286</v>
      </c>
      <c r="D173" s="29">
        <v>46156.655972222223</v>
      </c>
      <c r="E173" s="34" t="s">
        <v>287</v>
      </c>
      <c r="F173" t="b">
        <v>1</v>
      </c>
      <c r="G173" s="34" t="s">
        <v>288</v>
      </c>
      <c r="H173" t="b">
        <v>0</v>
      </c>
    </row>
    <row r="174" spans="1:8" x14ac:dyDescent="0.35">
      <c r="A174" s="34" t="s">
        <v>671</v>
      </c>
      <c r="B174" s="34" t="s">
        <v>324</v>
      </c>
      <c r="C174" s="34" t="s">
        <v>325</v>
      </c>
      <c r="D174" s="29">
        <v>46156.511863425927</v>
      </c>
      <c r="E174" s="34" t="s">
        <v>287</v>
      </c>
      <c r="F174" t="b">
        <v>1</v>
      </c>
      <c r="G174" s="34" t="s">
        <v>222</v>
      </c>
      <c r="H174" t="b">
        <v>0</v>
      </c>
    </row>
    <row r="175" spans="1:8" x14ac:dyDescent="0.35">
      <c r="A175" s="34" t="s">
        <v>672</v>
      </c>
      <c r="B175" s="34" t="s">
        <v>297</v>
      </c>
      <c r="C175" s="34" t="s">
        <v>298</v>
      </c>
      <c r="D175" s="29">
        <v>46156.419259259259</v>
      </c>
      <c r="E175" s="34" t="s">
        <v>287</v>
      </c>
      <c r="F175" t="b">
        <v>1</v>
      </c>
      <c r="G175" s="34" t="s">
        <v>412</v>
      </c>
      <c r="H175" t="b">
        <v>0</v>
      </c>
    </row>
    <row r="176" spans="1:8" x14ac:dyDescent="0.35">
      <c r="A176" s="34" t="s">
        <v>669</v>
      </c>
      <c r="B176" s="34" t="s">
        <v>285</v>
      </c>
      <c r="C176" s="34" t="s">
        <v>286</v>
      </c>
      <c r="D176" s="29">
        <v>46156.413344907407</v>
      </c>
      <c r="E176" s="34" t="s">
        <v>287</v>
      </c>
      <c r="F176" t="b">
        <v>1</v>
      </c>
      <c r="G176" s="34" t="s">
        <v>412</v>
      </c>
      <c r="H176" t="b">
        <v>0</v>
      </c>
    </row>
    <row r="177" spans="1:8" x14ac:dyDescent="0.35">
      <c r="A177" s="34" t="s">
        <v>669</v>
      </c>
      <c r="B177" s="34" t="s">
        <v>673</v>
      </c>
      <c r="C177" s="34" t="s">
        <v>436</v>
      </c>
      <c r="D177" s="29">
        <v>46156.347060185188</v>
      </c>
      <c r="E177" s="34" t="s">
        <v>287</v>
      </c>
      <c r="F177" t="b">
        <v>1</v>
      </c>
      <c r="G177" s="34" t="s">
        <v>412</v>
      </c>
      <c r="H177" t="b">
        <v>0</v>
      </c>
    </row>
    <row r="178" spans="1:8" x14ac:dyDescent="0.35">
      <c r="A178" s="34" t="s">
        <v>299</v>
      </c>
      <c r="B178" s="34" t="s">
        <v>300</v>
      </c>
      <c r="C178" s="34" t="s">
        <v>301</v>
      </c>
      <c r="D178" s="29">
        <v>46156.271099537036</v>
      </c>
      <c r="E178" s="34" t="s">
        <v>287</v>
      </c>
      <c r="F178" t="b">
        <v>1</v>
      </c>
      <c r="G178" s="34" t="s">
        <v>302</v>
      </c>
      <c r="H178" t="b">
        <v>0</v>
      </c>
    </row>
    <row r="179" spans="1:8" x14ac:dyDescent="0.35">
      <c r="A179" s="34" t="s">
        <v>674</v>
      </c>
      <c r="B179" s="34" t="s">
        <v>294</v>
      </c>
      <c r="C179" s="34" t="s">
        <v>295</v>
      </c>
      <c r="D179" s="29">
        <v>46155.806076388886</v>
      </c>
      <c r="E179" s="34" t="s">
        <v>287</v>
      </c>
      <c r="F179" t="b">
        <v>1</v>
      </c>
      <c r="G179" s="34" t="s">
        <v>226</v>
      </c>
      <c r="H179" t="b">
        <v>0</v>
      </c>
    </row>
    <row r="180" spans="1:8" x14ac:dyDescent="0.35">
      <c r="A180" s="34" t="s">
        <v>675</v>
      </c>
      <c r="B180" s="34" t="s">
        <v>294</v>
      </c>
      <c r="C180" s="34" t="s">
        <v>295</v>
      </c>
      <c r="D180" s="29">
        <v>46155.776296296295</v>
      </c>
      <c r="E180" s="34" t="s">
        <v>287</v>
      </c>
      <c r="F180" t="b">
        <v>1</v>
      </c>
      <c r="G180" s="34" t="s">
        <v>223</v>
      </c>
      <c r="H180" t="b">
        <v>0</v>
      </c>
    </row>
    <row r="181" spans="1:8" x14ac:dyDescent="0.35">
      <c r="A181" s="34" t="s">
        <v>676</v>
      </c>
      <c r="B181" s="34" t="s">
        <v>324</v>
      </c>
      <c r="C181" s="34" t="s">
        <v>325</v>
      </c>
      <c r="D181" s="29">
        <v>46155.625532407408</v>
      </c>
      <c r="E181" s="34" t="s">
        <v>287</v>
      </c>
      <c r="F181" t="b">
        <v>1</v>
      </c>
      <c r="G181" s="34" t="s">
        <v>226</v>
      </c>
      <c r="H181" t="b">
        <v>0</v>
      </c>
    </row>
    <row r="182" spans="1:8" x14ac:dyDescent="0.35">
      <c r="A182" s="34" t="s">
        <v>677</v>
      </c>
      <c r="B182" s="34" t="s">
        <v>297</v>
      </c>
      <c r="C182" s="34" t="s">
        <v>298</v>
      </c>
      <c r="D182" s="29">
        <v>46155.617812500001</v>
      </c>
      <c r="E182" s="34" t="s">
        <v>287</v>
      </c>
      <c r="F182" t="b">
        <v>1</v>
      </c>
      <c r="G182" s="34" t="s">
        <v>222</v>
      </c>
      <c r="H182" t="b">
        <v>0</v>
      </c>
    </row>
    <row r="183" spans="1:8" x14ac:dyDescent="0.35">
      <c r="A183" s="34" t="s">
        <v>678</v>
      </c>
      <c r="B183" s="34" t="s">
        <v>315</v>
      </c>
      <c r="C183" s="34" t="s">
        <v>316</v>
      </c>
      <c r="D183" s="29">
        <v>46155.472743055558</v>
      </c>
      <c r="E183" s="34" t="s">
        <v>287</v>
      </c>
      <c r="F183" t="b">
        <v>1</v>
      </c>
      <c r="G183" s="34" t="s">
        <v>226</v>
      </c>
      <c r="H183" t="b">
        <v>0</v>
      </c>
    </row>
    <row r="184" spans="1:8" x14ac:dyDescent="0.35">
      <c r="A184" s="34" t="s">
        <v>299</v>
      </c>
      <c r="B184" s="34" t="s">
        <v>300</v>
      </c>
      <c r="C184" s="34" t="s">
        <v>301</v>
      </c>
      <c r="D184" s="29">
        <v>46155.271180555559</v>
      </c>
      <c r="E184" s="34" t="s">
        <v>287</v>
      </c>
      <c r="F184" t="b">
        <v>1</v>
      </c>
      <c r="G184" s="34" t="s">
        <v>222</v>
      </c>
      <c r="H184" t="b">
        <v>0</v>
      </c>
    </row>
    <row r="185" spans="1:8" x14ac:dyDescent="0.35">
      <c r="A185" s="34" t="s">
        <v>679</v>
      </c>
      <c r="B185" s="34" t="s">
        <v>382</v>
      </c>
      <c r="C185" s="34" t="s">
        <v>383</v>
      </c>
      <c r="D185" s="29">
        <v>46154.881562499999</v>
      </c>
      <c r="E185" s="34" t="s">
        <v>287</v>
      </c>
      <c r="F185" t="b">
        <v>1</v>
      </c>
      <c r="G185" s="34" t="s">
        <v>288</v>
      </c>
      <c r="H185" t="b">
        <v>1</v>
      </c>
    </row>
    <row r="186" spans="1:8" x14ac:dyDescent="0.35">
      <c r="A186" s="34" t="s">
        <v>680</v>
      </c>
      <c r="B186" s="34" t="s">
        <v>310</v>
      </c>
      <c r="C186" s="34" t="s">
        <v>311</v>
      </c>
      <c r="D186" s="29">
        <v>46154.860439814816</v>
      </c>
      <c r="E186" s="34" t="s">
        <v>287</v>
      </c>
      <c r="F186" t="b">
        <v>1</v>
      </c>
      <c r="G186" s="34" t="s">
        <v>222</v>
      </c>
      <c r="H186" t="b">
        <v>1</v>
      </c>
    </row>
    <row r="187" spans="1:8" x14ac:dyDescent="0.35">
      <c r="A187" s="34" t="s">
        <v>681</v>
      </c>
      <c r="B187" s="34" t="s">
        <v>227</v>
      </c>
      <c r="C187" s="34" t="s">
        <v>291</v>
      </c>
      <c r="D187" s="29">
        <v>46154.796087962961</v>
      </c>
      <c r="E187" s="34" t="s">
        <v>287</v>
      </c>
      <c r="F187" t="b">
        <v>1</v>
      </c>
      <c r="G187" s="34" t="s">
        <v>288</v>
      </c>
      <c r="H187" t="b">
        <v>0</v>
      </c>
    </row>
    <row r="188" spans="1:8" x14ac:dyDescent="0.35">
      <c r="A188" s="34" t="s">
        <v>681</v>
      </c>
      <c r="B188" s="34" t="s">
        <v>682</v>
      </c>
      <c r="C188" s="34" t="s">
        <v>683</v>
      </c>
      <c r="D188" s="29">
        <v>46154.761874999997</v>
      </c>
      <c r="E188" s="34" t="s">
        <v>287</v>
      </c>
      <c r="F188" t="b">
        <v>1</v>
      </c>
      <c r="G188" s="34" t="s">
        <v>222</v>
      </c>
      <c r="H188" t="b">
        <v>0</v>
      </c>
    </row>
    <row r="189" spans="1:8" x14ac:dyDescent="0.35">
      <c r="A189" s="34" t="s">
        <v>681</v>
      </c>
      <c r="B189" s="34" t="s">
        <v>227</v>
      </c>
      <c r="C189" s="34" t="s">
        <v>291</v>
      </c>
      <c r="D189" s="29">
        <v>46154.760451388887</v>
      </c>
      <c r="E189" s="34" t="s">
        <v>287</v>
      </c>
      <c r="F189" t="b">
        <v>1</v>
      </c>
      <c r="G189" s="34" t="s">
        <v>222</v>
      </c>
      <c r="H189" t="b">
        <v>0</v>
      </c>
    </row>
    <row r="190" spans="1:8" x14ac:dyDescent="0.35">
      <c r="A190" s="34" t="s">
        <v>681</v>
      </c>
      <c r="B190" s="34" t="s">
        <v>285</v>
      </c>
      <c r="C190" s="34" t="s">
        <v>286</v>
      </c>
      <c r="D190" s="29">
        <v>46154.749884259261</v>
      </c>
      <c r="E190" s="34" t="s">
        <v>287</v>
      </c>
      <c r="F190" t="b">
        <v>1</v>
      </c>
      <c r="G190" s="34" t="s">
        <v>226</v>
      </c>
      <c r="H190" t="b">
        <v>0</v>
      </c>
    </row>
    <row r="191" spans="1:8" x14ac:dyDescent="0.35">
      <c r="A191" s="34" t="s">
        <v>684</v>
      </c>
      <c r="B191" s="34" t="s">
        <v>127</v>
      </c>
      <c r="C191" s="34" t="s">
        <v>685</v>
      </c>
      <c r="D191" s="29">
        <v>46154.608553240738</v>
      </c>
      <c r="E191" s="34" t="s">
        <v>287</v>
      </c>
      <c r="F191" t="b">
        <v>1</v>
      </c>
      <c r="G191" s="34" t="s">
        <v>226</v>
      </c>
      <c r="H191" t="b">
        <v>0</v>
      </c>
    </row>
    <row r="192" spans="1:8" x14ac:dyDescent="0.35">
      <c r="A192" s="34" t="s">
        <v>684</v>
      </c>
      <c r="B192" s="34" t="s">
        <v>127</v>
      </c>
      <c r="C192" s="34" t="s">
        <v>685</v>
      </c>
      <c r="D192" s="29">
        <v>46154.607453703706</v>
      </c>
      <c r="E192" s="34" t="s">
        <v>287</v>
      </c>
      <c r="F192" t="b">
        <v>1</v>
      </c>
      <c r="G192" s="34" t="s">
        <v>288</v>
      </c>
      <c r="H192" t="b">
        <v>0</v>
      </c>
    </row>
    <row r="193" spans="1:8" x14ac:dyDescent="0.35">
      <c r="A193" s="34" t="s">
        <v>686</v>
      </c>
      <c r="B193" s="34" t="s">
        <v>294</v>
      </c>
      <c r="C193" s="34" t="s">
        <v>295</v>
      </c>
      <c r="D193" s="29">
        <v>46154.603842592594</v>
      </c>
      <c r="E193" s="34" t="s">
        <v>287</v>
      </c>
      <c r="F193" t="b">
        <v>1</v>
      </c>
      <c r="G193" s="34" t="s">
        <v>406</v>
      </c>
      <c r="H193" t="b">
        <v>0</v>
      </c>
    </row>
    <row r="194" spans="1:8" x14ac:dyDescent="0.35">
      <c r="A194" s="34" t="s">
        <v>669</v>
      </c>
      <c r="B194" s="34" t="s">
        <v>285</v>
      </c>
      <c r="C194" s="34" t="s">
        <v>286</v>
      </c>
      <c r="D194" s="29">
        <v>46154.546539351853</v>
      </c>
      <c r="E194" s="34" t="s">
        <v>287</v>
      </c>
      <c r="F194" t="b">
        <v>1</v>
      </c>
      <c r="G194" s="34" t="s">
        <v>222</v>
      </c>
      <c r="H194" t="b">
        <v>0</v>
      </c>
    </row>
    <row r="195" spans="1:8" x14ac:dyDescent="0.35">
      <c r="A195" s="34" t="s">
        <v>669</v>
      </c>
      <c r="B195" s="34" t="s">
        <v>382</v>
      </c>
      <c r="C195" s="34" t="s">
        <v>383</v>
      </c>
      <c r="D195" s="29">
        <v>46154.520312499997</v>
      </c>
      <c r="E195" s="34" t="s">
        <v>287</v>
      </c>
      <c r="F195" t="b">
        <v>1</v>
      </c>
      <c r="G195" s="34" t="s">
        <v>288</v>
      </c>
      <c r="H195" t="b">
        <v>0</v>
      </c>
    </row>
    <row r="196" spans="1:8" x14ac:dyDescent="0.35">
      <c r="A196" s="34" t="s">
        <v>687</v>
      </c>
      <c r="B196" s="34" t="s">
        <v>285</v>
      </c>
      <c r="C196" s="34" t="s">
        <v>286</v>
      </c>
      <c r="D196" s="29">
        <v>46154.478842592594</v>
      </c>
      <c r="E196" s="34" t="s">
        <v>287</v>
      </c>
      <c r="F196" t="b">
        <v>1</v>
      </c>
      <c r="G196" s="34" t="s">
        <v>288</v>
      </c>
      <c r="H196" t="b">
        <v>0</v>
      </c>
    </row>
    <row r="197" spans="1:8" x14ac:dyDescent="0.35">
      <c r="A197" s="34" t="s">
        <v>688</v>
      </c>
      <c r="B197" s="34" t="s">
        <v>324</v>
      </c>
      <c r="C197" s="34" t="s">
        <v>325</v>
      </c>
      <c r="D197" s="29">
        <v>46154.47760416667</v>
      </c>
      <c r="E197" s="34" t="s">
        <v>287</v>
      </c>
      <c r="F197" t="b">
        <v>1</v>
      </c>
      <c r="G197" s="34" t="s">
        <v>222</v>
      </c>
      <c r="H197" t="b">
        <v>0</v>
      </c>
    </row>
    <row r="198" spans="1:8" x14ac:dyDescent="0.35">
      <c r="A198" s="34" t="s">
        <v>689</v>
      </c>
      <c r="B198" s="34" t="s">
        <v>315</v>
      </c>
      <c r="C198" s="34" t="s">
        <v>316</v>
      </c>
      <c r="D198" s="29">
        <v>46154.475497685184</v>
      </c>
      <c r="E198" s="34" t="s">
        <v>287</v>
      </c>
      <c r="F198" t="b">
        <v>1</v>
      </c>
      <c r="G198" s="34" t="s">
        <v>288</v>
      </c>
      <c r="H198" t="b">
        <v>0</v>
      </c>
    </row>
    <row r="199" spans="1:8" x14ac:dyDescent="0.35">
      <c r="A199" s="34" t="s">
        <v>690</v>
      </c>
      <c r="B199" s="34" t="s">
        <v>285</v>
      </c>
      <c r="C199" s="34" t="s">
        <v>286</v>
      </c>
      <c r="D199" s="29">
        <v>46154.473009259258</v>
      </c>
      <c r="E199" s="34" t="s">
        <v>287</v>
      </c>
      <c r="F199" t="b">
        <v>1</v>
      </c>
      <c r="G199" s="34" t="s">
        <v>518</v>
      </c>
      <c r="H199" t="b">
        <v>0</v>
      </c>
    </row>
    <row r="200" spans="1:8" x14ac:dyDescent="0.35">
      <c r="A200" s="34" t="s">
        <v>691</v>
      </c>
      <c r="B200" s="34" t="s">
        <v>297</v>
      </c>
      <c r="C200" s="34" t="s">
        <v>298</v>
      </c>
      <c r="D200" s="29">
        <v>46154.31658564815</v>
      </c>
      <c r="E200" s="34" t="s">
        <v>287</v>
      </c>
      <c r="F200" t="b">
        <v>1</v>
      </c>
      <c r="G200" s="34" t="s">
        <v>222</v>
      </c>
      <c r="H200" t="b">
        <v>0</v>
      </c>
    </row>
    <row r="201" spans="1:8" x14ac:dyDescent="0.35">
      <c r="A201" s="34" t="s">
        <v>299</v>
      </c>
      <c r="B201" s="34" t="s">
        <v>300</v>
      </c>
      <c r="C201" s="34" t="s">
        <v>301</v>
      </c>
      <c r="D201" s="29">
        <v>46154.271192129629</v>
      </c>
      <c r="E201" s="34" t="s">
        <v>287</v>
      </c>
      <c r="F201" t="b">
        <v>1</v>
      </c>
      <c r="G201" s="34" t="s">
        <v>222</v>
      </c>
      <c r="H201" t="b">
        <v>0</v>
      </c>
    </row>
    <row r="202" spans="1:8" x14ac:dyDescent="0.35">
      <c r="A202" s="34" t="s">
        <v>692</v>
      </c>
      <c r="B202" s="34" t="s">
        <v>294</v>
      </c>
      <c r="C202" s="34" t="s">
        <v>295</v>
      </c>
      <c r="D202" s="29">
        <v>46153.566134259258</v>
      </c>
      <c r="E202" s="34" t="s">
        <v>287</v>
      </c>
      <c r="F202" t="b">
        <v>1</v>
      </c>
      <c r="G202" s="34" t="s">
        <v>220</v>
      </c>
      <c r="H202" t="b">
        <v>0</v>
      </c>
    </row>
    <row r="203" spans="1:8" x14ac:dyDescent="0.35">
      <c r="A203" s="34" t="s">
        <v>693</v>
      </c>
      <c r="B203" s="34" t="s">
        <v>294</v>
      </c>
      <c r="C203" s="34" t="s">
        <v>295</v>
      </c>
      <c r="D203" s="29">
        <v>46153.565439814818</v>
      </c>
      <c r="E203" s="34" t="s">
        <v>287</v>
      </c>
      <c r="F203" t="b">
        <v>1</v>
      </c>
      <c r="G203" s="34" t="s">
        <v>220</v>
      </c>
      <c r="H203" t="b">
        <v>0</v>
      </c>
    </row>
    <row r="204" spans="1:8" x14ac:dyDescent="0.35">
      <c r="A204" s="34" t="s">
        <v>694</v>
      </c>
      <c r="B204" s="34" t="s">
        <v>294</v>
      </c>
      <c r="C204" s="34" t="s">
        <v>295</v>
      </c>
      <c r="D204" s="29">
        <v>46153.559293981481</v>
      </c>
      <c r="E204" s="34" t="s">
        <v>287</v>
      </c>
      <c r="F204" t="b">
        <v>1</v>
      </c>
      <c r="G204" s="34" t="s">
        <v>867</v>
      </c>
      <c r="H204" t="b">
        <v>0</v>
      </c>
    </row>
    <row r="205" spans="1:8" x14ac:dyDescent="0.35">
      <c r="A205" s="34" t="s">
        <v>695</v>
      </c>
      <c r="B205" s="34" t="s">
        <v>324</v>
      </c>
      <c r="C205" s="34" t="s">
        <v>325</v>
      </c>
      <c r="D205" s="29">
        <v>46153.450428240743</v>
      </c>
      <c r="E205" s="34" t="s">
        <v>287</v>
      </c>
      <c r="F205" t="b">
        <v>1</v>
      </c>
      <c r="G205" s="34" t="s">
        <v>222</v>
      </c>
      <c r="H205" t="b">
        <v>0</v>
      </c>
    </row>
    <row r="206" spans="1:8" x14ac:dyDescent="0.35">
      <c r="A206" s="34" t="s">
        <v>696</v>
      </c>
      <c r="B206" s="34" t="s">
        <v>297</v>
      </c>
      <c r="C206" s="34" t="s">
        <v>298</v>
      </c>
      <c r="D206" s="29">
        <v>46153.427222222221</v>
      </c>
      <c r="E206" s="34" t="s">
        <v>287</v>
      </c>
      <c r="F206" t="b">
        <v>1</v>
      </c>
      <c r="G206" s="34" t="s">
        <v>222</v>
      </c>
      <c r="H206" t="b">
        <v>0</v>
      </c>
    </row>
    <row r="207" spans="1:8" x14ac:dyDescent="0.35">
      <c r="A207" s="34" t="s">
        <v>697</v>
      </c>
      <c r="B207" s="34" t="s">
        <v>294</v>
      </c>
      <c r="C207" s="34" t="s">
        <v>295</v>
      </c>
      <c r="D207" s="29">
        <v>46153.284583333334</v>
      </c>
      <c r="E207" s="34" t="s">
        <v>287</v>
      </c>
      <c r="F207" t="b">
        <v>1</v>
      </c>
      <c r="G207" s="34" t="s">
        <v>288</v>
      </c>
      <c r="H207" t="b">
        <v>0</v>
      </c>
    </row>
    <row r="208" spans="1:8" x14ac:dyDescent="0.35">
      <c r="A208" s="34" t="s">
        <v>299</v>
      </c>
      <c r="B208" s="34" t="s">
        <v>300</v>
      </c>
      <c r="C208" s="34" t="s">
        <v>301</v>
      </c>
      <c r="D208" s="29">
        <v>46153.271226851852</v>
      </c>
      <c r="E208" s="34" t="s">
        <v>287</v>
      </c>
      <c r="F208" t="b">
        <v>1</v>
      </c>
      <c r="G208" s="34" t="s">
        <v>288</v>
      </c>
      <c r="H208" t="b">
        <v>0</v>
      </c>
    </row>
    <row r="209" spans="1:8" x14ac:dyDescent="0.35">
      <c r="A209" s="34" t="s">
        <v>698</v>
      </c>
      <c r="B209" s="34" t="s">
        <v>294</v>
      </c>
      <c r="C209" s="34" t="s">
        <v>295</v>
      </c>
      <c r="D209" s="29">
        <v>46153.106689814813</v>
      </c>
      <c r="E209" s="34" t="s">
        <v>287</v>
      </c>
      <c r="F209" t="b">
        <v>1</v>
      </c>
      <c r="G209" s="34" t="s">
        <v>581</v>
      </c>
      <c r="H209" t="b">
        <v>0</v>
      </c>
    </row>
    <row r="210" spans="1:8" x14ac:dyDescent="0.35">
      <c r="A210" s="34" t="s">
        <v>699</v>
      </c>
      <c r="B210" s="34" t="s">
        <v>294</v>
      </c>
      <c r="C210" s="34" t="s">
        <v>295</v>
      </c>
      <c r="D210" s="29">
        <v>46153.106678240743</v>
      </c>
      <c r="E210" s="34" t="s">
        <v>287</v>
      </c>
      <c r="F210" t="b">
        <v>1</v>
      </c>
      <c r="G210" s="34" t="s">
        <v>581</v>
      </c>
      <c r="H210" t="b">
        <v>0</v>
      </c>
    </row>
    <row r="211" spans="1:8" x14ac:dyDescent="0.35">
      <c r="A211" s="34" t="s">
        <v>299</v>
      </c>
      <c r="B211" s="34" t="s">
        <v>300</v>
      </c>
      <c r="C211" s="34" t="s">
        <v>301</v>
      </c>
      <c r="D211" s="29">
        <v>46152.271041666667</v>
      </c>
      <c r="E211" s="34" t="s">
        <v>287</v>
      </c>
      <c r="F211" t="b">
        <v>1</v>
      </c>
      <c r="G211" s="34" t="s">
        <v>222</v>
      </c>
      <c r="H211" t="b">
        <v>0</v>
      </c>
    </row>
    <row r="212" spans="1:8" x14ac:dyDescent="0.35">
      <c r="A212" s="34" t="s">
        <v>299</v>
      </c>
      <c r="B212" s="34" t="s">
        <v>300</v>
      </c>
      <c r="C212" s="34" t="s">
        <v>301</v>
      </c>
      <c r="D212" s="29">
        <v>46151.271249999998</v>
      </c>
      <c r="E212" s="34" t="s">
        <v>287</v>
      </c>
      <c r="F212" t="b">
        <v>1</v>
      </c>
      <c r="G212" s="34" t="s">
        <v>222</v>
      </c>
      <c r="H212" t="b">
        <v>0</v>
      </c>
    </row>
    <row r="213" spans="1:8" x14ac:dyDescent="0.35">
      <c r="A213" s="34" t="s">
        <v>700</v>
      </c>
      <c r="B213" s="34" t="s">
        <v>294</v>
      </c>
      <c r="C213" s="34" t="s">
        <v>295</v>
      </c>
      <c r="D213" s="29">
        <v>46150.86917824074</v>
      </c>
      <c r="E213" s="34" t="s">
        <v>287</v>
      </c>
      <c r="F213" t="b">
        <v>1</v>
      </c>
      <c r="G213" s="34" t="s">
        <v>581</v>
      </c>
      <c r="H213" t="b">
        <v>0</v>
      </c>
    </row>
    <row r="214" spans="1:8" x14ac:dyDescent="0.35">
      <c r="A214" s="34" t="s">
        <v>701</v>
      </c>
      <c r="B214" s="34" t="s">
        <v>294</v>
      </c>
      <c r="C214" s="34" t="s">
        <v>295</v>
      </c>
      <c r="D214" s="29">
        <v>46150.848437499997</v>
      </c>
      <c r="E214" s="34" t="s">
        <v>287</v>
      </c>
      <c r="F214" t="b">
        <v>1</v>
      </c>
      <c r="G214" s="34" t="s">
        <v>581</v>
      </c>
      <c r="H214" t="b">
        <v>0</v>
      </c>
    </row>
    <row r="215" spans="1:8" x14ac:dyDescent="0.35">
      <c r="A215" s="34" t="s">
        <v>665</v>
      </c>
      <c r="B215" s="34" t="s">
        <v>294</v>
      </c>
      <c r="C215" s="34" t="s">
        <v>295</v>
      </c>
      <c r="D215" s="29">
        <v>46150.573287037034</v>
      </c>
      <c r="E215" s="34" t="s">
        <v>287</v>
      </c>
      <c r="F215" t="b">
        <v>1</v>
      </c>
      <c r="G215" s="34" t="s">
        <v>288</v>
      </c>
      <c r="H215" t="b">
        <v>0</v>
      </c>
    </row>
    <row r="216" spans="1:8" x14ac:dyDescent="0.35">
      <c r="A216" s="34" t="s">
        <v>702</v>
      </c>
      <c r="B216" s="34" t="s">
        <v>294</v>
      </c>
      <c r="C216" s="34" t="s">
        <v>295</v>
      </c>
      <c r="D216" s="29">
        <v>46150.538865740738</v>
      </c>
      <c r="E216" s="34" t="s">
        <v>287</v>
      </c>
      <c r="F216" t="b">
        <v>1</v>
      </c>
      <c r="G216" s="34" t="s">
        <v>220</v>
      </c>
      <c r="H216" t="b">
        <v>0</v>
      </c>
    </row>
    <row r="217" spans="1:8" x14ac:dyDescent="0.35">
      <c r="A217" s="34" t="s">
        <v>703</v>
      </c>
      <c r="B217" s="34" t="s">
        <v>294</v>
      </c>
      <c r="C217" s="34" t="s">
        <v>295</v>
      </c>
      <c r="D217" s="29">
        <v>46150.538773148146</v>
      </c>
      <c r="E217" s="34" t="s">
        <v>287</v>
      </c>
      <c r="F217" t="b">
        <v>1</v>
      </c>
      <c r="G217" s="34" t="s">
        <v>220</v>
      </c>
      <c r="H217" t="b">
        <v>0</v>
      </c>
    </row>
    <row r="218" spans="1:8" x14ac:dyDescent="0.35">
      <c r="A218" s="34" t="s">
        <v>704</v>
      </c>
      <c r="B218" s="34" t="s">
        <v>294</v>
      </c>
      <c r="C218" s="34" t="s">
        <v>295</v>
      </c>
      <c r="D218" s="29">
        <v>46150.538171296299</v>
      </c>
      <c r="E218" s="34" t="s">
        <v>287</v>
      </c>
      <c r="F218" t="b">
        <v>1</v>
      </c>
      <c r="G218" s="34" t="s">
        <v>220</v>
      </c>
      <c r="H218" t="b">
        <v>0</v>
      </c>
    </row>
    <row r="219" spans="1:8" x14ac:dyDescent="0.35">
      <c r="A219" s="34" t="s">
        <v>705</v>
      </c>
      <c r="B219" s="34" t="s">
        <v>294</v>
      </c>
      <c r="C219" s="34" t="s">
        <v>295</v>
      </c>
      <c r="D219" s="29">
        <v>46150.538148148145</v>
      </c>
      <c r="E219" s="34" t="s">
        <v>287</v>
      </c>
      <c r="F219" t="b">
        <v>1</v>
      </c>
      <c r="G219" s="34" t="s">
        <v>220</v>
      </c>
      <c r="H219" t="b">
        <v>0</v>
      </c>
    </row>
    <row r="220" spans="1:8" x14ac:dyDescent="0.35">
      <c r="A220" s="34" t="s">
        <v>706</v>
      </c>
      <c r="B220" s="34" t="s">
        <v>294</v>
      </c>
      <c r="C220" s="34" t="s">
        <v>295</v>
      </c>
      <c r="D220" s="29">
        <v>46150.516458333332</v>
      </c>
      <c r="E220" s="34" t="s">
        <v>287</v>
      </c>
      <c r="F220" t="b">
        <v>1</v>
      </c>
      <c r="G220" s="34" t="s">
        <v>220</v>
      </c>
      <c r="H220" t="b">
        <v>0</v>
      </c>
    </row>
    <row r="221" spans="1:8" x14ac:dyDescent="0.35">
      <c r="A221" s="34" t="s">
        <v>707</v>
      </c>
      <c r="B221" s="34" t="s">
        <v>294</v>
      </c>
      <c r="C221" s="34" t="s">
        <v>295</v>
      </c>
      <c r="D221" s="29">
        <v>46150.516423611109</v>
      </c>
      <c r="E221" s="34" t="s">
        <v>287</v>
      </c>
      <c r="F221" t="b">
        <v>1</v>
      </c>
      <c r="G221" s="34" t="s">
        <v>220</v>
      </c>
      <c r="H221" t="b">
        <v>0</v>
      </c>
    </row>
    <row r="222" spans="1:8" x14ac:dyDescent="0.35">
      <c r="A222" s="34" t="s">
        <v>708</v>
      </c>
      <c r="B222" s="34" t="s">
        <v>294</v>
      </c>
      <c r="C222" s="34" t="s">
        <v>295</v>
      </c>
      <c r="D222" s="29">
        <v>46150.516423611109</v>
      </c>
      <c r="E222" s="34" t="s">
        <v>287</v>
      </c>
      <c r="F222" t="b">
        <v>1</v>
      </c>
      <c r="G222" s="34" t="s">
        <v>220</v>
      </c>
      <c r="H222" t="b">
        <v>0</v>
      </c>
    </row>
    <row r="223" spans="1:8" x14ac:dyDescent="0.35">
      <c r="A223" s="34" t="s">
        <v>709</v>
      </c>
      <c r="B223" s="34" t="s">
        <v>546</v>
      </c>
      <c r="C223" s="34" t="s">
        <v>435</v>
      </c>
      <c r="D223" s="29">
        <v>46150.509745370371</v>
      </c>
      <c r="E223" s="34" t="s">
        <v>287</v>
      </c>
      <c r="F223" t="b">
        <v>1</v>
      </c>
      <c r="G223" s="34" t="s">
        <v>288</v>
      </c>
      <c r="H223" t="b">
        <v>1</v>
      </c>
    </row>
    <row r="224" spans="1:8" x14ac:dyDescent="0.35">
      <c r="A224" s="34" t="s">
        <v>710</v>
      </c>
      <c r="B224" s="34" t="s">
        <v>324</v>
      </c>
      <c r="C224" s="34" t="s">
        <v>325</v>
      </c>
      <c r="D224" s="29">
        <v>46150.483854166669</v>
      </c>
      <c r="E224" s="34" t="s">
        <v>287</v>
      </c>
      <c r="F224" t="b">
        <v>1</v>
      </c>
      <c r="G224" s="34" t="s">
        <v>222</v>
      </c>
      <c r="H224" t="b">
        <v>0</v>
      </c>
    </row>
    <row r="225" spans="1:8" x14ac:dyDescent="0.35">
      <c r="A225" s="34" t="s">
        <v>636</v>
      </c>
      <c r="B225" s="34" t="s">
        <v>504</v>
      </c>
      <c r="C225" s="34" t="s">
        <v>505</v>
      </c>
      <c r="D225" s="29">
        <v>46150.438576388886</v>
      </c>
      <c r="E225" s="34" t="s">
        <v>287</v>
      </c>
      <c r="F225" t="b">
        <v>1</v>
      </c>
      <c r="G225" s="34" t="s">
        <v>226</v>
      </c>
      <c r="H225" t="b">
        <v>0</v>
      </c>
    </row>
    <row r="226" spans="1:8" x14ac:dyDescent="0.35">
      <c r="A226" s="34" t="s">
        <v>711</v>
      </c>
      <c r="B226" s="34" t="s">
        <v>297</v>
      </c>
      <c r="C226" s="34" t="s">
        <v>298</v>
      </c>
      <c r="D226" s="29">
        <v>46150.412499999999</v>
      </c>
      <c r="E226" s="34" t="s">
        <v>287</v>
      </c>
      <c r="F226" t="b">
        <v>1</v>
      </c>
      <c r="G226" s="34" t="s">
        <v>222</v>
      </c>
      <c r="H226" t="b">
        <v>0</v>
      </c>
    </row>
    <row r="227" spans="1:8" x14ac:dyDescent="0.35">
      <c r="A227" s="34" t="s">
        <v>712</v>
      </c>
      <c r="B227" s="34" t="s">
        <v>294</v>
      </c>
      <c r="C227" s="34" t="s">
        <v>295</v>
      </c>
      <c r="D227" s="29">
        <v>46150.317326388889</v>
      </c>
      <c r="E227" s="34" t="s">
        <v>287</v>
      </c>
      <c r="F227" t="b">
        <v>1</v>
      </c>
      <c r="G227" s="34" t="s">
        <v>222</v>
      </c>
      <c r="H227" t="b">
        <v>0</v>
      </c>
    </row>
    <row r="228" spans="1:8" x14ac:dyDescent="0.35">
      <c r="A228" s="34" t="s">
        <v>713</v>
      </c>
      <c r="B228" s="34" t="s">
        <v>294</v>
      </c>
      <c r="C228" s="34" t="s">
        <v>295</v>
      </c>
      <c r="D228" s="29">
        <v>46150.317314814813</v>
      </c>
      <c r="E228" s="34" t="s">
        <v>287</v>
      </c>
      <c r="F228" t="b">
        <v>1</v>
      </c>
      <c r="G228" s="34" t="s">
        <v>222</v>
      </c>
      <c r="H228" t="b">
        <v>0</v>
      </c>
    </row>
    <row r="229" spans="1:8" x14ac:dyDescent="0.35">
      <c r="A229" s="34" t="s">
        <v>299</v>
      </c>
      <c r="B229" s="34" t="s">
        <v>300</v>
      </c>
      <c r="C229" s="34" t="s">
        <v>301</v>
      </c>
      <c r="D229" s="29">
        <v>46150.271979166668</v>
      </c>
      <c r="E229" s="34" t="s">
        <v>287</v>
      </c>
      <c r="F229" t="b">
        <v>1</v>
      </c>
      <c r="G229" s="34" t="s">
        <v>222</v>
      </c>
      <c r="H229" t="b">
        <v>0</v>
      </c>
    </row>
    <row r="230" spans="1:8" x14ac:dyDescent="0.35">
      <c r="A230" s="34" t="s">
        <v>714</v>
      </c>
      <c r="B230" s="34" t="s">
        <v>294</v>
      </c>
      <c r="C230" s="34" t="s">
        <v>295</v>
      </c>
      <c r="D230" s="29">
        <v>46149.90892361111</v>
      </c>
      <c r="E230" s="34" t="s">
        <v>287</v>
      </c>
      <c r="F230" t="b">
        <v>1</v>
      </c>
      <c r="G230" s="34" t="s">
        <v>581</v>
      </c>
      <c r="H230" t="b">
        <v>0</v>
      </c>
    </row>
    <row r="231" spans="1:8" x14ac:dyDescent="0.35">
      <c r="A231" s="34" t="s">
        <v>715</v>
      </c>
      <c r="B231" s="34" t="s">
        <v>294</v>
      </c>
      <c r="C231" s="34" t="s">
        <v>295</v>
      </c>
      <c r="D231" s="29">
        <v>46149.908414351848</v>
      </c>
      <c r="E231" s="34" t="s">
        <v>287</v>
      </c>
      <c r="F231" t="b">
        <v>1</v>
      </c>
      <c r="G231" s="34" t="s">
        <v>581</v>
      </c>
      <c r="H231" t="b">
        <v>0</v>
      </c>
    </row>
    <row r="232" spans="1:8" x14ac:dyDescent="0.35">
      <c r="A232" s="34" t="s">
        <v>716</v>
      </c>
      <c r="B232" s="34" t="s">
        <v>294</v>
      </c>
      <c r="C232" s="34" t="s">
        <v>295</v>
      </c>
      <c r="D232" s="29">
        <v>46149.880474537036</v>
      </c>
      <c r="E232" s="34" t="s">
        <v>287</v>
      </c>
      <c r="F232" t="b">
        <v>1</v>
      </c>
      <c r="G232" s="34" t="s">
        <v>394</v>
      </c>
      <c r="H232" t="b">
        <v>0</v>
      </c>
    </row>
    <row r="233" spans="1:8" x14ac:dyDescent="0.35">
      <c r="A233" s="34" t="s">
        <v>717</v>
      </c>
      <c r="B233" s="34" t="s">
        <v>294</v>
      </c>
      <c r="C233" s="34" t="s">
        <v>295</v>
      </c>
      <c r="D233" s="29">
        <v>46149.80709490741</v>
      </c>
      <c r="E233" s="34" t="s">
        <v>287</v>
      </c>
      <c r="F233" t="b">
        <v>1</v>
      </c>
      <c r="G233" s="34" t="s">
        <v>394</v>
      </c>
      <c r="H233" t="b">
        <v>0</v>
      </c>
    </row>
    <row r="234" spans="1:8" x14ac:dyDescent="0.35">
      <c r="A234" s="34" t="s">
        <v>718</v>
      </c>
      <c r="B234" s="34" t="s">
        <v>294</v>
      </c>
      <c r="C234" s="34" t="s">
        <v>295</v>
      </c>
      <c r="D234" s="29">
        <v>46149.597407407404</v>
      </c>
      <c r="E234" s="34" t="s">
        <v>287</v>
      </c>
      <c r="F234" t="b">
        <v>1</v>
      </c>
      <c r="G234" s="34" t="s">
        <v>394</v>
      </c>
      <c r="H234" t="b">
        <v>0</v>
      </c>
    </row>
    <row r="235" spans="1:8" x14ac:dyDescent="0.35">
      <c r="A235" s="34" t="s">
        <v>719</v>
      </c>
      <c r="B235" s="34" t="s">
        <v>225</v>
      </c>
      <c r="C235" s="34" t="s">
        <v>353</v>
      </c>
      <c r="D235" s="29">
        <v>46149.591064814813</v>
      </c>
      <c r="E235" s="34" t="s">
        <v>287</v>
      </c>
      <c r="F235" t="b">
        <v>1</v>
      </c>
      <c r="G235" s="34" t="s">
        <v>222</v>
      </c>
      <c r="H235" t="b">
        <v>0</v>
      </c>
    </row>
    <row r="236" spans="1:8" x14ac:dyDescent="0.35">
      <c r="A236" s="34" t="s">
        <v>299</v>
      </c>
      <c r="B236" s="34" t="s">
        <v>300</v>
      </c>
      <c r="C236" s="34" t="s">
        <v>301</v>
      </c>
      <c r="D236" s="29">
        <v>46149.27107638889</v>
      </c>
      <c r="E236" s="34" t="s">
        <v>287</v>
      </c>
      <c r="F236" t="b">
        <v>1</v>
      </c>
      <c r="G236" s="34" t="s">
        <v>302</v>
      </c>
      <c r="H236" t="b">
        <v>0</v>
      </c>
    </row>
    <row r="237" spans="1:8" x14ac:dyDescent="0.35">
      <c r="A237" s="34" t="s">
        <v>720</v>
      </c>
      <c r="B237" s="34" t="s">
        <v>294</v>
      </c>
      <c r="C237" s="34" t="s">
        <v>295</v>
      </c>
      <c r="D237" s="29">
        <v>46148.845752314817</v>
      </c>
      <c r="E237" s="34" t="s">
        <v>287</v>
      </c>
      <c r="F237" t="b">
        <v>1</v>
      </c>
      <c r="G237" s="34" t="s">
        <v>581</v>
      </c>
      <c r="H237" t="b">
        <v>0</v>
      </c>
    </row>
    <row r="238" spans="1:8" x14ac:dyDescent="0.35">
      <c r="A238" s="34" t="s">
        <v>442</v>
      </c>
      <c r="B238" s="34" t="s">
        <v>415</v>
      </c>
      <c r="C238" s="34" t="s">
        <v>416</v>
      </c>
      <c r="D238" s="29">
        <v>46148.697534722225</v>
      </c>
      <c r="E238" s="34" t="s">
        <v>287</v>
      </c>
      <c r="F238" t="b">
        <v>1</v>
      </c>
      <c r="G238" s="34" t="s">
        <v>721</v>
      </c>
      <c r="H238" t="b">
        <v>0</v>
      </c>
    </row>
    <row r="239" spans="1:8" x14ac:dyDescent="0.35">
      <c r="A239" s="34" t="s">
        <v>722</v>
      </c>
      <c r="B239" s="34" t="s">
        <v>297</v>
      </c>
      <c r="C239" s="34" t="s">
        <v>298</v>
      </c>
      <c r="D239" s="29">
        <v>46148.596736111111</v>
      </c>
      <c r="E239" s="34" t="s">
        <v>287</v>
      </c>
      <c r="F239" t="b">
        <v>1</v>
      </c>
      <c r="G239" s="34" t="s">
        <v>412</v>
      </c>
      <c r="H239" t="b">
        <v>1</v>
      </c>
    </row>
    <row r="240" spans="1:8" x14ac:dyDescent="0.35">
      <c r="A240" s="34" t="s">
        <v>723</v>
      </c>
      <c r="B240" s="34" t="s">
        <v>324</v>
      </c>
      <c r="C240" s="34" t="s">
        <v>325</v>
      </c>
      <c r="D240" s="29">
        <v>46148.542118055557</v>
      </c>
      <c r="E240" s="34" t="s">
        <v>287</v>
      </c>
      <c r="F240" t="b">
        <v>1</v>
      </c>
      <c r="G240" s="34" t="s">
        <v>288</v>
      </c>
      <c r="H240" t="b">
        <v>0</v>
      </c>
    </row>
    <row r="241" spans="1:8" x14ac:dyDescent="0.35">
      <c r="A241" s="34" t="s">
        <v>724</v>
      </c>
      <c r="B241" s="34" t="s">
        <v>297</v>
      </c>
      <c r="C241" s="34" t="s">
        <v>298</v>
      </c>
      <c r="D241" s="29">
        <v>46148.512812499997</v>
      </c>
      <c r="E241" s="34" t="s">
        <v>287</v>
      </c>
      <c r="F241" t="b">
        <v>1</v>
      </c>
      <c r="G241" s="34" t="s">
        <v>222</v>
      </c>
      <c r="H241" t="b">
        <v>0</v>
      </c>
    </row>
    <row r="242" spans="1:8" x14ac:dyDescent="0.35">
      <c r="A242" s="34" t="s">
        <v>717</v>
      </c>
      <c r="B242" s="34" t="s">
        <v>294</v>
      </c>
      <c r="C242" s="34" t="s">
        <v>295</v>
      </c>
      <c r="D242" s="29">
        <v>46148.500439814816</v>
      </c>
      <c r="E242" s="34" t="s">
        <v>287</v>
      </c>
      <c r="F242" t="b">
        <v>1</v>
      </c>
      <c r="G242" s="34" t="s">
        <v>406</v>
      </c>
      <c r="H242" t="b">
        <v>0</v>
      </c>
    </row>
    <row r="243" spans="1:8" x14ac:dyDescent="0.35">
      <c r="A243" s="34" t="s">
        <v>299</v>
      </c>
      <c r="B243" s="34" t="s">
        <v>300</v>
      </c>
      <c r="C243" s="34" t="s">
        <v>301</v>
      </c>
      <c r="D243" s="29">
        <v>46148.271157407406</v>
      </c>
      <c r="E243" s="34" t="s">
        <v>287</v>
      </c>
      <c r="F243" t="b">
        <v>1</v>
      </c>
      <c r="G243" s="34" t="s">
        <v>302</v>
      </c>
      <c r="H243" t="b">
        <v>0</v>
      </c>
    </row>
    <row r="244" spans="1:8" x14ac:dyDescent="0.35">
      <c r="A244" s="34" t="s">
        <v>725</v>
      </c>
      <c r="B244" s="34" t="s">
        <v>294</v>
      </c>
      <c r="C244" s="34" t="s">
        <v>295</v>
      </c>
      <c r="D244" s="29">
        <v>46147.725844907407</v>
      </c>
      <c r="E244" s="34" t="s">
        <v>287</v>
      </c>
      <c r="F244" t="b">
        <v>1</v>
      </c>
      <c r="G244" s="34" t="s">
        <v>413</v>
      </c>
      <c r="H244" t="b">
        <v>0</v>
      </c>
    </row>
    <row r="245" spans="1:8" x14ac:dyDescent="0.35">
      <c r="A245" s="34" t="s">
        <v>726</v>
      </c>
      <c r="B245" s="34" t="s">
        <v>90</v>
      </c>
      <c r="C245" s="34" t="s">
        <v>411</v>
      </c>
      <c r="D245" s="29">
        <v>46147.474560185183</v>
      </c>
      <c r="E245" s="34" t="s">
        <v>287</v>
      </c>
      <c r="F245" t="b">
        <v>1</v>
      </c>
      <c r="G245" s="34" t="s">
        <v>288</v>
      </c>
      <c r="H245" t="b">
        <v>0</v>
      </c>
    </row>
    <row r="246" spans="1:8" x14ac:dyDescent="0.35">
      <c r="A246" s="34" t="s">
        <v>727</v>
      </c>
      <c r="B246" s="34" t="s">
        <v>728</v>
      </c>
      <c r="C246" s="34" t="s">
        <v>729</v>
      </c>
      <c r="D246" s="29">
        <v>46147.465300925927</v>
      </c>
      <c r="E246" s="34" t="s">
        <v>292</v>
      </c>
      <c r="F246" t="b">
        <v>1</v>
      </c>
      <c r="G246" s="34" t="s">
        <v>288</v>
      </c>
      <c r="H246" t="b">
        <v>0</v>
      </c>
    </row>
    <row r="247" spans="1:8" x14ac:dyDescent="0.35">
      <c r="A247" s="34" t="s">
        <v>299</v>
      </c>
      <c r="B247" s="34" t="s">
        <v>300</v>
      </c>
      <c r="C247" s="34" t="s">
        <v>301</v>
      </c>
      <c r="D247" s="29">
        <v>46147.271168981482</v>
      </c>
      <c r="E247" s="34" t="s">
        <v>287</v>
      </c>
      <c r="F247" t="b">
        <v>1</v>
      </c>
      <c r="G247" s="34" t="s">
        <v>222</v>
      </c>
      <c r="H247" t="b">
        <v>0</v>
      </c>
    </row>
    <row r="248" spans="1:8" x14ac:dyDescent="0.35">
      <c r="A248" s="34" t="s">
        <v>730</v>
      </c>
      <c r="B248" s="34" t="s">
        <v>294</v>
      </c>
      <c r="C248" s="34" t="s">
        <v>295</v>
      </c>
      <c r="D248" s="29">
        <v>46146.661828703705</v>
      </c>
      <c r="E248" s="34" t="s">
        <v>287</v>
      </c>
      <c r="F248" t="b">
        <v>1</v>
      </c>
      <c r="G248" s="34" t="s">
        <v>581</v>
      </c>
      <c r="H248" t="b">
        <v>0</v>
      </c>
    </row>
    <row r="249" spans="1:8" x14ac:dyDescent="0.35">
      <c r="A249" s="34" t="s">
        <v>731</v>
      </c>
      <c r="B249" s="34" t="s">
        <v>294</v>
      </c>
      <c r="C249" s="34" t="s">
        <v>295</v>
      </c>
      <c r="D249" s="29">
        <v>46146.645150462966</v>
      </c>
      <c r="E249" s="34" t="s">
        <v>287</v>
      </c>
      <c r="F249" t="b">
        <v>1</v>
      </c>
      <c r="G249" s="34" t="s">
        <v>288</v>
      </c>
      <c r="H249" t="b">
        <v>0</v>
      </c>
    </row>
    <row r="250" spans="1:8" x14ac:dyDescent="0.35">
      <c r="A250" s="34" t="s">
        <v>732</v>
      </c>
      <c r="B250" s="34" t="s">
        <v>294</v>
      </c>
      <c r="C250" s="34" t="s">
        <v>295</v>
      </c>
      <c r="D250" s="29">
        <v>46146.534178240741</v>
      </c>
      <c r="E250" s="34" t="s">
        <v>287</v>
      </c>
      <c r="F250" t="b">
        <v>1</v>
      </c>
      <c r="G250" s="34" t="s">
        <v>581</v>
      </c>
      <c r="H250" t="b">
        <v>0</v>
      </c>
    </row>
    <row r="251" spans="1:8" x14ac:dyDescent="0.35">
      <c r="A251" s="34" t="s">
        <v>733</v>
      </c>
      <c r="B251" s="34" t="s">
        <v>294</v>
      </c>
      <c r="C251" s="34" t="s">
        <v>295</v>
      </c>
      <c r="D251" s="29">
        <v>46146.534120370372</v>
      </c>
      <c r="E251" s="34" t="s">
        <v>287</v>
      </c>
      <c r="F251" t="b">
        <v>1</v>
      </c>
      <c r="G251" s="34" t="s">
        <v>581</v>
      </c>
      <c r="H251" t="b">
        <v>0</v>
      </c>
    </row>
    <row r="252" spans="1:8" x14ac:dyDescent="0.35">
      <c r="A252" s="34" t="s">
        <v>734</v>
      </c>
      <c r="B252" s="34" t="s">
        <v>294</v>
      </c>
      <c r="C252" s="34" t="s">
        <v>295</v>
      </c>
      <c r="D252" s="29">
        <v>46146.526053240741</v>
      </c>
      <c r="E252" s="34" t="s">
        <v>287</v>
      </c>
      <c r="F252" t="b">
        <v>1</v>
      </c>
      <c r="G252" s="34" t="s">
        <v>581</v>
      </c>
      <c r="H252" t="b">
        <v>0</v>
      </c>
    </row>
    <row r="253" spans="1:8" x14ac:dyDescent="0.35">
      <c r="A253" s="34" t="s">
        <v>735</v>
      </c>
      <c r="B253" s="34" t="s">
        <v>294</v>
      </c>
      <c r="C253" s="34" t="s">
        <v>295</v>
      </c>
      <c r="D253" s="29">
        <v>46146.525960648149</v>
      </c>
      <c r="E253" s="34" t="s">
        <v>287</v>
      </c>
      <c r="F253" t="b">
        <v>1</v>
      </c>
      <c r="G253" s="34" t="s">
        <v>404</v>
      </c>
      <c r="H253" t="b">
        <v>0</v>
      </c>
    </row>
    <row r="254" spans="1:8" x14ac:dyDescent="0.35">
      <c r="A254" s="34" t="s">
        <v>736</v>
      </c>
      <c r="B254" s="34" t="s">
        <v>294</v>
      </c>
      <c r="C254" s="34" t="s">
        <v>295</v>
      </c>
      <c r="D254" s="29">
        <v>46146.525023148148</v>
      </c>
      <c r="E254" s="34" t="s">
        <v>287</v>
      </c>
      <c r="F254" t="b">
        <v>1</v>
      </c>
      <c r="G254" s="34" t="s">
        <v>581</v>
      </c>
      <c r="H254" t="b">
        <v>0</v>
      </c>
    </row>
    <row r="255" spans="1:8" x14ac:dyDescent="0.35">
      <c r="A255" s="34" t="s">
        <v>737</v>
      </c>
      <c r="B255" s="34" t="s">
        <v>294</v>
      </c>
      <c r="C255" s="34" t="s">
        <v>295</v>
      </c>
      <c r="D255" s="29">
        <v>46146.523564814815</v>
      </c>
      <c r="E255" s="34" t="s">
        <v>287</v>
      </c>
      <c r="F255" t="b">
        <v>1</v>
      </c>
      <c r="G255" s="34" t="s">
        <v>581</v>
      </c>
      <c r="H255" t="b">
        <v>0</v>
      </c>
    </row>
    <row r="256" spans="1:8" x14ac:dyDescent="0.35">
      <c r="A256" s="34" t="s">
        <v>738</v>
      </c>
      <c r="B256" s="34" t="s">
        <v>294</v>
      </c>
      <c r="C256" s="34" t="s">
        <v>295</v>
      </c>
      <c r="D256" s="29">
        <v>46146.522974537038</v>
      </c>
      <c r="E256" s="34" t="s">
        <v>287</v>
      </c>
      <c r="F256" t="b">
        <v>1</v>
      </c>
      <c r="G256" s="34" t="s">
        <v>404</v>
      </c>
      <c r="H256" t="b">
        <v>0</v>
      </c>
    </row>
    <row r="257" spans="1:8" x14ac:dyDescent="0.35">
      <c r="A257" s="34" t="s">
        <v>739</v>
      </c>
      <c r="B257" s="34" t="s">
        <v>294</v>
      </c>
      <c r="C257" s="34" t="s">
        <v>295</v>
      </c>
      <c r="D257" s="29">
        <v>46146.522592592592</v>
      </c>
      <c r="E257" s="34" t="s">
        <v>287</v>
      </c>
      <c r="F257" t="b">
        <v>1</v>
      </c>
      <c r="G257" s="34" t="s">
        <v>581</v>
      </c>
      <c r="H257" t="b">
        <v>0</v>
      </c>
    </row>
    <row r="258" spans="1:8" x14ac:dyDescent="0.35">
      <c r="A258" s="34" t="s">
        <v>740</v>
      </c>
      <c r="B258" s="34" t="s">
        <v>297</v>
      </c>
      <c r="C258" s="34" t="s">
        <v>298</v>
      </c>
      <c r="D258" s="29">
        <v>46146.282361111109</v>
      </c>
      <c r="E258" s="34" t="s">
        <v>292</v>
      </c>
      <c r="F258" t="b">
        <v>1</v>
      </c>
      <c r="G258" s="34" t="s">
        <v>226</v>
      </c>
      <c r="H258" t="b">
        <v>0</v>
      </c>
    </row>
    <row r="259" spans="1:8" x14ac:dyDescent="0.35">
      <c r="A259" s="34" t="s">
        <v>299</v>
      </c>
      <c r="B259" s="34" t="s">
        <v>300</v>
      </c>
      <c r="C259" s="34" t="s">
        <v>301</v>
      </c>
      <c r="D259" s="29">
        <v>46146.271122685182</v>
      </c>
      <c r="E259" s="34" t="s">
        <v>287</v>
      </c>
      <c r="F259" t="b">
        <v>1</v>
      </c>
      <c r="G259" s="34" t="s">
        <v>222</v>
      </c>
      <c r="H259" t="b">
        <v>0</v>
      </c>
    </row>
    <row r="260" spans="1:8" x14ac:dyDescent="0.35">
      <c r="A260" s="34" t="s">
        <v>741</v>
      </c>
      <c r="B260" s="34" t="s">
        <v>294</v>
      </c>
      <c r="C260" s="34" t="s">
        <v>295</v>
      </c>
      <c r="D260" s="29">
        <v>46146.227129629631</v>
      </c>
      <c r="E260" s="34" t="s">
        <v>287</v>
      </c>
      <c r="F260" t="b">
        <v>1</v>
      </c>
      <c r="G260" s="34" t="s">
        <v>222</v>
      </c>
      <c r="H260" t="b">
        <v>0</v>
      </c>
    </row>
    <row r="261" spans="1:8" x14ac:dyDescent="0.35">
      <c r="A261" s="34" t="s">
        <v>742</v>
      </c>
      <c r="B261" s="34" t="s">
        <v>294</v>
      </c>
      <c r="C261" s="34" t="s">
        <v>295</v>
      </c>
      <c r="D261" s="29">
        <v>46146.227129629631</v>
      </c>
      <c r="E261" s="34" t="s">
        <v>287</v>
      </c>
      <c r="F261" t="b">
        <v>1</v>
      </c>
      <c r="G261" s="34" t="s">
        <v>868</v>
      </c>
      <c r="H261" t="b">
        <v>0</v>
      </c>
    </row>
    <row r="262" spans="1:8" x14ac:dyDescent="0.35">
      <c r="A262" s="34" t="s">
        <v>743</v>
      </c>
      <c r="B262" s="34" t="s">
        <v>294</v>
      </c>
      <c r="C262" s="34" t="s">
        <v>295</v>
      </c>
      <c r="D262" s="29">
        <v>46146.181284722225</v>
      </c>
      <c r="E262" s="34" t="s">
        <v>287</v>
      </c>
      <c r="F262" t="b">
        <v>1</v>
      </c>
      <c r="G262" s="34" t="s">
        <v>222</v>
      </c>
      <c r="H262" t="b">
        <v>0</v>
      </c>
    </row>
    <row r="263" spans="1:8" x14ac:dyDescent="0.35">
      <c r="A263" s="34" t="s">
        <v>744</v>
      </c>
      <c r="B263" s="34" t="s">
        <v>294</v>
      </c>
      <c r="C263" s="34" t="s">
        <v>295</v>
      </c>
      <c r="D263" s="29">
        <v>46146.169907407406</v>
      </c>
      <c r="E263" s="34" t="s">
        <v>287</v>
      </c>
      <c r="F263" t="b">
        <v>1</v>
      </c>
      <c r="G263" s="34" t="s">
        <v>868</v>
      </c>
      <c r="H263" t="b">
        <v>0</v>
      </c>
    </row>
    <row r="264" spans="1:8" x14ac:dyDescent="0.35">
      <c r="A264" s="34" t="s">
        <v>743</v>
      </c>
      <c r="B264" s="34" t="s">
        <v>294</v>
      </c>
      <c r="C264" s="34" t="s">
        <v>295</v>
      </c>
      <c r="D264" s="29">
        <v>46146.169895833336</v>
      </c>
      <c r="E264" s="34" t="s">
        <v>287</v>
      </c>
      <c r="F264" t="b">
        <v>1</v>
      </c>
      <c r="G264" s="34" t="s">
        <v>222</v>
      </c>
      <c r="H264" t="b">
        <v>0</v>
      </c>
    </row>
    <row r="265" spans="1:8" x14ac:dyDescent="0.35">
      <c r="A265" s="34" t="s">
        <v>745</v>
      </c>
      <c r="B265" s="34" t="s">
        <v>294</v>
      </c>
      <c r="C265" s="34" t="s">
        <v>295</v>
      </c>
      <c r="D265" s="29">
        <v>46145.665393518517</v>
      </c>
      <c r="E265" s="34" t="s">
        <v>287</v>
      </c>
      <c r="F265" t="b">
        <v>1</v>
      </c>
      <c r="G265" s="34" t="s">
        <v>578</v>
      </c>
      <c r="H265" t="b">
        <v>0</v>
      </c>
    </row>
    <row r="266" spans="1:8" x14ac:dyDescent="0.35">
      <c r="A266" s="34" t="s">
        <v>746</v>
      </c>
      <c r="B266" s="34" t="s">
        <v>294</v>
      </c>
      <c r="C266" s="34" t="s">
        <v>295</v>
      </c>
      <c r="D266" s="29">
        <v>46145.665381944447</v>
      </c>
      <c r="E266" s="34" t="s">
        <v>287</v>
      </c>
      <c r="F266" t="b">
        <v>1</v>
      </c>
      <c r="G266" s="34" t="s">
        <v>578</v>
      </c>
      <c r="H266" t="b">
        <v>0</v>
      </c>
    </row>
    <row r="267" spans="1:8" x14ac:dyDescent="0.35">
      <c r="A267" s="34" t="s">
        <v>299</v>
      </c>
      <c r="B267" s="34" t="s">
        <v>300</v>
      </c>
      <c r="C267" s="34" t="s">
        <v>301</v>
      </c>
      <c r="D267" s="29">
        <v>46145.271041666667</v>
      </c>
      <c r="E267" s="34" t="s">
        <v>287</v>
      </c>
      <c r="F267" t="b">
        <v>1</v>
      </c>
      <c r="G267" s="34" t="s">
        <v>222</v>
      </c>
      <c r="H267" t="b">
        <v>0</v>
      </c>
    </row>
    <row r="268" spans="1:8" x14ac:dyDescent="0.35">
      <c r="A268" s="34" t="s">
        <v>299</v>
      </c>
      <c r="B268" s="34" t="s">
        <v>300</v>
      </c>
      <c r="C268" s="34" t="s">
        <v>301</v>
      </c>
      <c r="D268" s="29">
        <v>46144.271099537036</v>
      </c>
      <c r="E268" s="34" t="s">
        <v>287</v>
      </c>
      <c r="F268" t="b">
        <v>1</v>
      </c>
      <c r="G268" s="34" t="s">
        <v>222</v>
      </c>
      <c r="H268" t="b">
        <v>0</v>
      </c>
    </row>
    <row r="269" spans="1:8" x14ac:dyDescent="0.35">
      <c r="A269" s="34" t="s">
        <v>747</v>
      </c>
      <c r="B269" s="34" t="s">
        <v>294</v>
      </c>
      <c r="C269" s="34" t="s">
        <v>295</v>
      </c>
      <c r="D269" s="29">
        <v>46143.543923611112</v>
      </c>
      <c r="E269" s="34" t="s">
        <v>287</v>
      </c>
      <c r="F269" t="b">
        <v>1</v>
      </c>
      <c r="G269" s="34" t="s">
        <v>412</v>
      </c>
      <c r="H269" t="b">
        <v>0</v>
      </c>
    </row>
    <row r="270" spans="1:8" x14ac:dyDescent="0.35">
      <c r="A270" s="34" t="s">
        <v>748</v>
      </c>
      <c r="B270" s="34" t="s">
        <v>297</v>
      </c>
      <c r="C270" s="34" t="s">
        <v>298</v>
      </c>
      <c r="D270" s="29">
        <v>46143.310902777775</v>
      </c>
      <c r="E270" s="34" t="s">
        <v>287</v>
      </c>
      <c r="F270" t="b">
        <v>1</v>
      </c>
      <c r="G270" s="34" t="s">
        <v>222</v>
      </c>
      <c r="H270" t="b">
        <v>0</v>
      </c>
    </row>
    <row r="271" spans="1:8" x14ac:dyDescent="0.35">
      <c r="A271" s="34" t="s">
        <v>299</v>
      </c>
      <c r="B271" s="34" t="s">
        <v>300</v>
      </c>
      <c r="C271" s="34" t="s">
        <v>301</v>
      </c>
      <c r="D271" s="29">
        <v>46143.27103009259</v>
      </c>
      <c r="E271" s="34" t="s">
        <v>287</v>
      </c>
      <c r="F271" t="b">
        <v>1</v>
      </c>
      <c r="G271" s="34" t="s">
        <v>222</v>
      </c>
      <c r="H271" t="b">
        <v>0</v>
      </c>
    </row>
    <row r="272" spans="1:8" x14ac:dyDescent="0.35">
      <c r="A272" s="34" t="s">
        <v>749</v>
      </c>
      <c r="B272" s="34" t="s">
        <v>294</v>
      </c>
      <c r="C272" s="34" t="s">
        <v>295</v>
      </c>
      <c r="D272" s="29">
        <v>46142.774895833332</v>
      </c>
      <c r="E272" s="34" t="s">
        <v>287</v>
      </c>
      <c r="F272" t="b">
        <v>1</v>
      </c>
      <c r="G272" s="34" t="s">
        <v>413</v>
      </c>
      <c r="H272" t="b">
        <v>0</v>
      </c>
    </row>
    <row r="273" spans="1:8" x14ac:dyDescent="0.35">
      <c r="A273" s="34" t="s">
        <v>750</v>
      </c>
      <c r="B273" s="34" t="s">
        <v>294</v>
      </c>
      <c r="C273" s="34" t="s">
        <v>295</v>
      </c>
      <c r="D273" s="29">
        <v>46142.610034722224</v>
      </c>
      <c r="E273" s="34" t="s">
        <v>287</v>
      </c>
      <c r="F273" t="b">
        <v>1</v>
      </c>
      <c r="G273" s="34" t="s">
        <v>581</v>
      </c>
      <c r="H273" t="b">
        <v>0</v>
      </c>
    </row>
    <row r="274" spans="1:8" x14ac:dyDescent="0.35">
      <c r="A274" s="34" t="s">
        <v>751</v>
      </c>
      <c r="B274" s="34" t="s">
        <v>294</v>
      </c>
      <c r="C274" s="34" t="s">
        <v>295</v>
      </c>
      <c r="D274" s="29">
        <v>46142.610034722224</v>
      </c>
      <c r="E274" s="34" t="s">
        <v>287</v>
      </c>
      <c r="F274" t="b">
        <v>1</v>
      </c>
      <c r="G274" s="34" t="s">
        <v>581</v>
      </c>
      <c r="H274" t="b">
        <v>0</v>
      </c>
    </row>
    <row r="275" spans="1:8" x14ac:dyDescent="0.35">
      <c r="A275" s="34" t="s">
        <v>752</v>
      </c>
      <c r="B275" s="34" t="s">
        <v>294</v>
      </c>
      <c r="C275" s="34" t="s">
        <v>295</v>
      </c>
      <c r="D275" s="29">
        <v>46142.609953703701</v>
      </c>
      <c r="E275" s="34" t="s">
        <v>287</v>
      </c>
      <c r="F275" t="b">
        <v>1</v>
      </c>
      <c r="G275" s="34" t="s">
        <v>404</v>
      </c>
      <c r="H275" t="b">
        <v>0</v>
      </c>
    </row>
    <row r="276" spans="1:8" x14ac:dyDescent="0.35">
      <c r="A276" s="34" t="s">
        <v>753</v>
      </c>
      <c r="B276" s="34" t="s">
        <v>294</v>
      </c>
      <c r="C276" s="34" t="s">
        <v>295</v>
      </c>
      <c r="D276" s="29">
        <v>46142.608900462961</v>
      </c>
      <c r="E276" s="34" t="s">
        <v>287</v>
      </c>
      <c r="F276" t="b">
        <v>1</v>
      </c>
      <c r="G276" s="34" t="s">
        <v>581</v>
      </c>
      <c r="H276" t="b">
        <v>0</v>
      </c>
    </row>
    <row r="277" spans="1:8" x14ac:dyDescent="0.35">
      <c r="A277" s="34" t="s">
        <v>754</v>
      </c>
      <c r="B277" s="34" t="s">
        <v>294</v>
      </c>
      <c r="C277" s="34" t="s">
        <v>295</v>
      </c>
      <c r="D277" s="29">
        <v>46142.608854166669</v>
      </c>
      <c r="E277" s="34" t="s">
        <v>287</v>
      </c>
      <c r="F277" t="b">
        <v>1</v>
      </c>
      <c r="G277" s="34" t="s">
        <v>581</v>
      </c>
      <c r="H277" t="b">
        <v>0</v>
      </c>
    </row>
    <row r="278" spans="1:8" x14ac:dyDescent="0.35">
      <c r="A278" s="34" t="s">
        <v>755</v>
      </c>
      <c r="B278" s="34" t="s">
        <v>294</v>
      </c>
      <c r="C278" s="34" t="s">
        <v>295</v>
      </c>
      <c r="D278" s="29">
        <v>46142.607152777775</v>
      </c>
      <c r="E278" s="34" t="s">
        <v>287</v>
      </c>
      <c r="F278" t="b">
        <v>1</v>
      </c>
      <c r="G278" s="34" t="s">
        <v>581</v>
      </c>
      <c r="H278" t="b">
        <v>0</v>
      </c>
    </row>
    <row r="279" spans="1:8" x14ac:dyDescent="0.35">
      <c r="A279" s="34" t="s">
        <v>756</v>
      </c>
      <c r="B279" s="34" t="s">
        <v>336</v>
      </c>
      <c r="C279" s="34" t="s">
        <v>337</v>
      </c>
      <c r="D279" s="29">
        <v>46142.286446759259</v>
      </c>
      <c r="E279" s="34" t="s">
        <v>287</v>
      </c>
      <c r="F279" t="b">
        <v>1</v>
      </c>
      <c r="G279" s="34" t="s">
        <v>226</v>
      </c>
      <c r="H279" t="b">
        <v>0</v>
      </c>
    </row>
    <row r="280" spans="1:8" x14ac:dyDescent="0.35">
      <c r="A280" s="34" t="s">
        <v>299</v>
      </c>
      <c r="B280" s="34" t="s">
        <v>300</v>
      </c>
      <c r="C280" s="34" t="s">
        <v>301</v>
      </c>
      <c r="D280" s="29">
        <v>46142.271296296298</v>
      </c>
      <c r="E280" s="34" t="s">
        <v>287</v>
      </c>
      <c r="F280" t="b">
        <v>1</v>
      </c>
      <c r="G280" s="34" t="s">
        <v>302</v>
      </c>
      <c r="H280" t="b">
        <v>0</v>
      </c>
    </row>
    <row r="281" spans="1:8" x14ac:dyDescent="0.35">
      <c r="A281" s="34" t="s">
        <v>622</v>
      </c>
      <c r="B281" s="34" t="s">
        <v>757</v>
      </c>
      <c r="C281" s="34" t="s">
        <v>758</v>
      </c>
      <c r="D281" s="29">
        <v>46141.909004629626</v>
      </c>
      <c r="E281" s="34" t="s">
        <v>287</v>
      </c>
      <c r="F281" t="b">
        <v>1</v>
      </c>
      <c r="G281" s="34" t="s">
        <v>518</v>
      </c>
      <c r="H281" t="b">
        <v>0</v>
      </c>
    </row>
    <row r="282" spans="1:8" x14ac:dyDescent="0.35">
      <c r="A282" s="34" t="s">
        <v>759</v>
      </c>
      <c r="B282" s="34" t="s">
        <v>294</v>
      </c>
      <c r="C282" s="34" t="s">
        <v>295</v>
      </c>
      <c r="D282" s="29">
        <v>46141.897256944445</v>
      </c>
      <c r="E282" s="34" t="s">
        <v>287</v>
      </c>
      <c r="F282" t="b">
        <v>1</v>
      </c>
      <c r="G282" s="34" t="s">
        <v>357</v>
      </c>
      <c r="H282" t="b">
        <v>0</v>
      </c>
    </row>
    <row r="283" spans="1:8" x14ac:dyDescent="0.35">
      <c r="A283" s="34" t="s">
        <v>622</v>
      </c>
      <c r="B283" s="34" t="s">
        <v>382</v>
      </c>
      <c r="C283" s="34" t="s">
        <v>383</v>
      </c>
      <c r="D283" s="29">
        <v>46141.794131944444</v>
      </c>
      <c r="E283" s="34" t="s">
        <v>287</v>
      </c>
      <c r="F283" t="b">
        <v>1</v>
      </c>
      <c r="G283" s="34" t="s">
        <v>288</v>
      </c>
      <c r="H283" t="b">
        <v>0</v>
      </c>
    </row>
    <row r="284" spans="1:8" x14ac:dyDescent="0.35">
      <c r="A284" s="34" t="s">
        <v>622</v>
      </c>
      <c r="B284" s="34" t="s">
        <v>757</v>
      </c>
      <c r="C284" s="34" t="s">
        <v>758</v>
      </c>
      <c r="D284" s="29">
        <v>46141.774351851855</v>
      </c>
      <c r="E284" s="34" t="s">
        <v>287</v>
      </c>
      <c r="F284" t="b">
        <v>1</v>
      </c>
      <c r="G284" s="34" t="s">
        <v>288</v>
      </c>
      <c r="H284" t="b">
        <v>1</v>
      </c>
    </row>
    <row r="285" spans="1:8" x14ac:dyDescent="0.35">
      <c r="A285" s="34" t="s">
        <v>622</v>
      </c>
      <c r="B285" s="34" t="s">
        <v>382</v>
      </c>
      <c r="C285" s="34" t="s">
        <v>383</v>
      </c>
      <c r="D285" s="29">
        <v>46141.750787037039</v>
      </c>
      <c r="E285" s="34" t="s">
        <v>287</v>
      </c>
      <c r="F285" t="b">
        <v>1</v>
      </c>
      <c r="G285" s="34" t="s">
        <v>288</v>
      </c>
      <c r="H285" t="b">
        <v>0</v>
      </c>
    </row>
    <row r="286" spans="1:8" x14ac:dyDescent="0.35">
      <c r="A286" s="34" t="s">
        <v>622</v>
      </c>
      <c r="B286" s="34" t="s">
        <v>227</v>
      </c>
      <c r="C286" s="34" t="s">
        <v>291</v>
      </c>
      <c r="D286" s="29">
        <v>46141.701284722221</v>
      </c>
      <c r="E286" s="34" t="s">
        <v>287</v>
      </c>
      <c r="F286" t="b">
        <v>1</v>
      </c>
      <c r="G286" s="34" t="s">
        <v>288</v>
      </c>
      <c r="H286" t="b">
        <v>0</v>
      </c>
    </row>
    <row r="287" spans="1:8" x14ac:dyDescent="0.35">
      <c r="A287" s="34" t="s">
        <v>760</v>
      </c>
      <c r="B287" s="34" t="s">
        <v>285</v>
      </c>
      <c r="C287" s="34" t="s">
        <v>286</v>
      </c>
      <c r="D287" s="29">
        <v>46141.575706018521</v>
      </c>
      <c r="E287" s="34" t="s">
        <v>287</v>
      </c>
      <c r="F287" t="b">
        <v>1</v>
      </c>
      <c r="G287" s="34" t="s">
        <v>288</v>
      </c>
      <c r="H287" t="b">
        <v>0</v>
      </c>
    </row>
    <row r="288" spans="1:8" x14ac:dyDescent="0.35">
      <c r="A288" s="34" t="s">
        <v>761</v>
      </c>
      <c r="B288" s="34" t="s">
        <v>324</v>
      </c>
      <c r="C288" s="34" t="s">
        <v>325</v>
      </c>
      <c r="D288" s="29">
        <v>46141.500358796293</v>
      </c>
      <c r="E288" s="34" t="s">
        <v>287</v>
      </c>
      <c r="F288" t="b">
        <v>1</v>
      </c>
      <c r="G288" s="34" t="s">
        <v>288</v>
      </c>
      <c r="H288" t="b">
        <v>0</v>
      </c>
    </row>
    <row r="289" spans="1:8" x14ac:dyDescent="0.35">
      <c r="A289" s="34" t="s">
        <v>762</v>
      </c>
      <c r="B289" s="34" t="s">
        <v>294</v>
      </c>
      <c r="C289" s="34" t="s">
        <v>295</v>
      </c>
      <c r="D289" s="29">
        <v>46141.483414351853</v>
      </c>
      <c r="E289" s="34" t="s">
        <v>287</v>
      </c>
      <c r="F289" t="b">
        <v>1</v>
      </c>
      <c r="G289" s="34" t="s">
        <v>404</v>
      </c>
      <c r="H289" t="b">
        <v>0</v>
      </c>
    </row>
    <row r="290" spans="1:8" x14ac:dyDescent="0.35">
      <c r="A290" s="34" t="s">
        <v>763</v>
      </c>
      <c r="B290" s="34" t="s">
        <v>294</v>
      </c>
      <c r="C290" s="34" t="s">
        <v>295</v>
      </c>
      <c r="D290" s="29">
        <v>46141.482465277775</v>
      </c>
      <c r="E290" s="34" t="s">
        <v>287</v>
      </c>
      <c r="F290" t="b">
        <v>1</v>
      </c>
      <c r="G290" s="34" t="s">
        <v>404</v>
      </c>
      <c r="H290" t="b">
        <v>0</v>
      </c>
    </row>
    <row r="291" spans="1:8" x14ac:dyDescent="0.35">
      <c r="A291" s="34" t="s">
        <v>764</v>
      </c>
      <c r="B291" s="34" t="s">
        <v>294</v>
      </c>
      <c r="C291" s="34" t="s">
        <v>295</v>
      </c>
      <c r="D291" s="29">
        <v>46141.481898148151</v>
      </c>
      <c r="E291" s="34" t="s">
        <v>287</v>
      </c>
      <c r="F291" t="b">
        <v>1</v>
      </c>
      <c r="G291" s="34" t="s">
        <v>404</v>
      </c>
      <c r="H291" t="b">
        <v>0</v>
      </c>
    </row>
    <row r="292" spans="1:8" x14ac:dyDescent="0.35">
      <c r="A292" s="34" t="s">
        <v>765</v>
      </c>
      <c r="B292" s="34" t="s">
        <v>294</v>
      </c>
      <c r="C292" s="34" t="s">
        <v>295</v>
      </c>
      <c r="D292" s="29">
        <v>46141.481145833335</v>
      </c>
      <c r="E292" s="34" t="s">
        <v>287</v>
      </c>
      <c r="F292" t="b">
        <v>1</v>
      </c>
      <c r="G292" s="34" t="s">
        <v>404</v>
      </c>
      <c r="H292" t="b">
        <v>0</v>
      </c>
    </row>
    <row r="293" spans="1:8" x14ac:dyDescent="0.35">
      <c r="A293" s="34" t="s">
        <v>766</v>
      </c>
      <c r="B293" s="34" t="s">
        <v>294</v>
      </c>
      <c r="C293" s="34" t="s">
        <v>295</v>
      </c>
      <c r="D293" s="29">
        <v>46141.479166666664</v>
      </c>
      <c r="E293" s="34" t="s">
        <v>287</v>
      </c>
      <c r="F293" t="b">
        <v>1</v>
      </c>
      <c r="G293" s="34" t="s">
        <v>404</v>
      </c>
      <c r="H293" t="b">
        <v>0</v>
      </c>
    </row>
    <row r="294" spans="1:8" x14ac:dyDescent="0.35">
      <c r="A294" s="34" t="s">
        <v>767</v>
      </c>
      <c r="B294" s="34" t="s">
        <v>294</v>
      </c>
      <c r="C294" s="34" t="s">
        <v>295</v>
      </c>
      <c r="D294" s="29">
        <v>46141.478136574071</v>
      </c>
      <c r="E294" s="34" t="s">
        <v>287</v>
      </c>
      <c r="F294" t="b">
        <v>1</v>
      </c>
      <c r="G294" s="34" t="s">
        <v>404</v>
      </c>
      <c r="H294" t="b">
        <v>0</v>
      </c>
    </row>
    <row r="295" spans="1:8" x14ac:dyDescent="0.35">
      <c r="A295" s="34" t="s">
        <v>768</v>
      </c>
      <c r="B295" s="34" t="s">
        <v>294</v>
      </c>
      <c r="C295" s="34" t="s">
        <v>295</v>
      </c>
      <c r="D295" s="29">
        <v>46141.400682870371</v>
      </c>
      <c r="E295" s="34" t="s">
        <v>287</v>
      </c>
      <c r="F295" t="b">
        <v>1</v>
      </c>
      <c r="G295" s="34" t="s">
        <v>581</v>
      </c>
      <c r="H295" t="b">
        <v>0</v>
      </c>
    </row>
    <row r="296" spans="1:8" x14ac:dyDescent="0.35">
      <c r="A296" s="34" t="s">
        <v>769</v>
      </c>
      <c r="B296" s="34" t="s">
        <v>294</v>
      </c>
      <c r="C296" s="34" t="s">
        <v>295</v>
      </c>
      <c r="D296" s="29">
        <v>46141.351423611108</v>
      </c>
      <c r="E296" s="34" t="s">
        <v>287</v>
      </c>
      <c r="F296" t="b">
        <v>1</v>
      </c>
      <c r="G296" s="34" t="s">
        <v>380</v>
      </c>
      <c r="H296" t="b">
        <v>0</v>
      </c>
    </row>
    <row r="297" spans="1:8" x14ac:dyDescent="0.35">
      <c r="A297" s="34" t="s">
        <v>299</v>
      </c>
      <c r="B297" s="34" t="s">
        <v>300</v>
      </c>
      <c r="C297" s="34" t="s">
        <v>301</v>
      </c>
      <c r="D297" s="29">
        <v>46141.270937499998</v>
      </c>
      <c r="E297" s="34" t="s">
        <v>287</v>
      </c>
      <c r="F297" t="b">
        <v>1</v>
      </c>
      <c r="G297" s="34" t="s">
        <v>302</v>
      </c>
      <c r="H297" t="b">
        <v>0</v>
      </c>
    </row>
    <row r="298" spans="1:8" x14ac:dyDescent="0.35">
      <c r="A298" s="34" t="s">
        <v>770</v>
      </c>
      <c r="B298" s="34" t="s">
        <v>409</v>
      </c>
      <c r="C298" s="34" t="s">
        <v>410</v>
      </c>
      <c r="D298" s="29">
        <v>46141.031840277778</v>
      </c>
      <c r="E298" s="34" t="s">
        <v>287</v>
      </c>
      <c r="F298" t="b">
        <v>1</v>
      </c>
      <c r="G298" s="34" t="s">
        <v>226</v>
      </c>
      <c r="H298" t="b">
        <v>0</v>
      </c>
    </row>
    <row r="299" spans="1:8" x14ac:dyDescent="0.35">
      <c r="A299" s="34" t="s">
        <v>622</v>
      </c>
      <c r="B299" s="34" t="s">
        <v>285</v>
      </c>
      <c r="C299" s="34" t="s">
        <v>286</v>
      </c>
      <c r="D299" s="29">
        <v>46141.01059027778</v>
      </c>
      <c r="E299" s="34" t="s">
        <v>287</v>
      </c>
      <c r="F299" t="b">
        <v>1</v>
      </c>
      <c r="G299" s="34" t="s">
        <v>629</v>
      </c>
      <c r="H299" t="b">
        <v>0</v>
      </c>
    </row>
    <row r="300" spans="1:8" x14ac:dyDescent="0.35">
      <c r="A300" s="34" t="s">
        <v>767</v>
      </c>
      <c r="B300" s="34" t="s">
        <v>294</v>
      </c>
      <c r="C300" s="34" t="s">
        <v>295</v>
      </c>
      <c r="D300" s="29">
        <v>46140.883414351854</v>
      </c>
      <c r="E300" s="34" t="s">
        <v>287</v>
      </c>
      <c r="F300" t="b">
        <v>1</v>
      </c>
      <c r="G300" s="34" t="s">
        <v>511</v>
      </c>
      <c r="H300" t="b">
        <v>0</v>
      </c>
    </row>
    <row r="301" spans="1:8" x14ac:dyDescent="0.35">
      <c r="A301" s="34" t="s">
        <v>771</v>
      </c>
      <c r="B301" s="34" t="s">
        <v>294</v>
      </c>
      <c r="C301" s="34" t="s">
        <v>295</v>
      </c>
      <c r="D301" s="29">
        <v>46140.778993055559</v>
      </c>
      <c r="E301" s="34" t="s">
        <v>287</v>
      </c>
      <c r="F301" t="b">
        <v>1</v>
      </c>
      <c r="G301" s="34" t="s">
        <v>226</v>
      </c>
      <c r="H301" t="b">
        <v>0</v>
      </c>
    </row>
    <row r="302" spans="1:8" x14ac:dyDescent="0.35">
      <c r="A302" s="34" t="s">
        <v>620</v>
      </c>
      <c r="B302" s="34" t="s">
        <v>294</v>
      </c>
      <c r="C302" s="34" t="s">
        <v>295</v>
      </c>
      <c r="D302" s="29">
        <v>46140.728391203702</v>
      </c>
      <c r="E302" s="34" t="s">
        <v>287</v>
      </c>
      <c r="F302" t="b">
        <v>1</v>
      </c>
      <c r="G302" s="34" t="s">
        <v>621</v>
      </c>
      <c r="H302" t="b">
        <v>0</v>
      </c>
    </row>
    <row r="303" spans="1:8" x14ac:dyDescent="0.35">
      <c r="A303" s="34" t="s">
        <v>622</v>
      </c>
      <c r="B303" s="34" t="s">
        <v>90</v>
      </c>
      <c r="C303" s="34" t="s">
        <v>411</v>
      </c>
      <c r="D303" s="29">
        <v>46140.715960648151</v>
      </c>
      <c r="E303" s="34" t="s">
        <v>287</v>
      </c>
      <c r="F303" t="b">
        <v>1</v>
      </c>
      <c r="G303" s="34" t="s">
        <v>222</v>
      </c>
      <c r="H303" t="b">
        <v>0</v>
      </c>
    </row>
    <row r="304" spans="1:8" x14ac:dyDescent="0.35">
      <c r="A304" s="34" t="s">
        <v>623</v>
      </c>
      <c r="B304" s="34" t="s">
        <v>294</v>
      </c>
      <c r="C304" s="34" t="s">
        <v>295</v>
      </c>
      <c r="D304" s="29">
        <v>46140.615289351852</v>
      </c>
      <c r="E304" s="34" t="s">
        <v>287</v>
      </c>
      <c r="F304" t="b">
        <v>1</v>
      </c>
      <c r="G304" s="34" t="s">
        <v>296</v>
      </c>
      <c r="H304" t="b">
        <v>0</v>
      </c>
    </row>
    <row r="305" spans="1:8" x14ac:dyDescent="0.35">
      <c r="A305" s="34" t="s">
        <v>624</v>
      </c>
      <c r="B305" s="34" t="s">
        <v>294</v>
      </c>
      <c r="C305" s="34" t="s">
        <v>295</v>
      </c>
      <c r="D305" s="29">
        <v>46140.309837962966</v>
      </c>
      <c r="E305" s="34" t="s">
        <v>287</v>
      </c>
      <c r="F305" t="b">
        <v>1</v>
      </c>
      <c r="G305" s="34" t="s">
        <v>394</v>
      </c>
      <c r="H305" t="b">
        <v>0</v>
      </c>
    </row>
    <row r="306" spans="1:8" x14ac:dyDescent="0.35">
      <c r="A306" s="34" t="s">
        <v>299</v>
      </c>
      <c r="B306" s="34" t="s">
        <v>300</v>
      </c>
      <c r="C306" s="34" t="s">
        <v>301</v>
      </c>
      <c r="D306" s="29">
        <v>46140.270995370367</v>
      </c>
      <c r="E306" s="34" t="s">
        <v>287</v>
      </c>
      <c r="F306" t="b">
        <v>1</v>
      </c>
      <c r="G306" s="34" t="s">
        <v>302</v>
      </c>
      <c r="H306" t="b">
        <v>0</v>
      </c>
    </row>
    <row r="307" spans="1:8" x14ac:dyDescent="0.35">
      <c r="A307" s="34" t="s">
        <v>625</v>
      </c>
      <c r="B307" s="34" t="s">
        <v>294</v>
      </c>
      <c r="C307" s="34" t="s">
        <v>295</v>
      </c>
      <c r="D307" s="29">
        <v>46139.862557870372</v>
      </c>
      <c r="E307" s="34" t="s">
        <v>287</v>
      </c>
      <c r="F307" t="b">
        <v>1</v>
      </c>
      <c r="G307" s="34" t="s">
        <v>772</v>
      </c>
      <c r="H307" t="b">
        <v>0</v>
      </c>
    </row>
    <row r="308" spans="1:8" x14ac:dyDescent="0.35">
      <c r="A308" s="34" t="s">
        <v>626</v>
      </c>
      <c r="B308" s="34" t="s">
        <v>294</v>
      </c>
      <c r="C308" s="34" t="s">
        <v>295</v>
      </c>
      <c r="D308" s="29">
        <v>46139.812592592592</v>
      </c>
      <c r="E308" s="34" t="s">
        <v>287</v>
      </c>
      <c r="F308" t="b">
        <v>1</v>
      </c>
      <c r="G308" s="34" t="s">
        <v>394</v>
      </c>
      <c r="H308" t="b">
        <v>0</v>
      </c>
    </row>
    <row r="309" spans="1:8" x14ac:dyDescent="0.35">
      <c r="A309" s="34" t="s">
        <v>627</v>
      </c>
      <c r="B309" s="34" t="s">
        <v>294</v>
      </c>
      <c r="C309" s="34" t="s">
        <v>295</v>
      </c>
      <c r="D309" s="29">
        <v>46139.749502314815</v>
      </c>
      <c r="E309" s="34" t="s">
        <v>287</v>
      </c>
      <c r="F309" t="b">
        <v>1</v>
      </c>
      <c r="G309" s="34" t="s">
        <v>394</v>
      </c>
      <c r="H309" t="b">
        <v>0</v>
      </c>
    </row>
    <row r="310" spans="1:8" x14ac:dyDescent="0.35">
      <c r="A310" s="34" t="s">
        <v>628</v>
      </c>
      <c r="B310" s="34" t="s">
        <v>294</v>
      </c>
      <c r="C310" s="34" t="s">
        <v>295</v>
      </c>
      <c r="D310" s="29">
        <v>46139.697094907409</v>
      </c>
      <c r="E310" s="34" t="s">
        <v>287</v>
      </c>
      <c r="F310" t="b">
        <v>1</v>
      </c>
      <c r="G310" s="34" t="s">
        <v>629</v>
      </c>
      <c r="H310" t="b">
        <v>0</v>
      </c>
    </row>
    <row r="311" spans="1:8" x14ac:dyDescent="0.35">
      <c r="A311" s="34" t="s">
        <v>630</v>
      </c>
      <c r="B311" s="34" t="s">
        <v>224</v>
      </c>
      <c r="C311" s="34" t="s">
        <v>424</v>
      </c>
      <c r="D311" s="29">
        <v>46139.612129629626</v>
      </c>
      <c r="E311" s="34" t="s">
        <v>287</v>
      </c>
      <c r="F311" t="b">
        <v>1</v>
      </c>
      <c r="G311" s="34" t="s">
        <v>511</v>
      </c>
      <c r="H311" t="b">
        <v>0</v>
      </c>
    </row>
    <row r="312" spans="1:8" x14ac:dyDescent="0.35">
      <c r="A312" s="34" t="s">
        <v>474</v>
      </c>
      <c r="B312" s="34" t="s">
        <v>294</v>
      </c>
      <c r="C312" s="34" t="s">
        <v>295</v>
      </c>
      <c r="D312" s="29">
        <v>46139.526689814818</v>
      </c>
      <c r="E312" s="34" t="s">
        <v>287</v>
      </c>
      <c r="F312" t="b">
        <v>1</v>
      </c>
      <c r="G312" s="34" t="s">
        <v>296</v>
      </c>
      <c r="H312" t="b">
        <v>0</v>
      </c>
    </row>
    <row r="313" spans="1:8" x14ac:dyDescent="0.35">
      <c r="A313" s="34" t="s">
        <v>631</v>
      </c>
      <c r="B313" s="34" t="s">
        <v>294</v>
      </c>
      <c r="C313" s="34" t="s">
        <v>295</v>
      </c>
      <c r="D313" s="29">
        <v>46139.51489583333</v>
      </c>
      <c r="E313" s="34" t="s">
        <v>287</v>
      </c>
      <c r="F313" t="b">
        <v>1</v>
      </c>
      <c r="G313" s="34" t="s">
        <v>581</v>
      </c>
      <c r="H313" t="b">
        <v>0</v>
      </c>
    </row>
    <row r="314" spans="1:8" x14ac:dyDescent="0.35">
      <c r="A314" s="34" t="s">
        <v>632</v>
      </c>
      <c r="B314" s="34" t="s">
        <v>294</v>
      </c>
      <c r="C314" s="34" t="s">
        <v>295</v>
      </c>
      <c r="D314" s="29">
        <v>46139.51357638889</v>
      </c>
      <c r="E314" s="34" t="s">
        <v>287</v>
      </c>
      <c r="F314" t="b">
        <v>1</v>
      </c>
      <c r="G314" s="34" t="s">
        <v>581</v>
      </c>
      <c r="H314" t="b">
        <v>0</v>
      </c>
    </row>
    <row r="315" spans="1:8" x14ac:dyDescent="0.35">
      <c r="A315" s="34" t="s">
        <v>633</v>
      </c>
      <c r="B315" s="34" t="s">
        <v>294</v>
      </c>
      <c r="C315" s="34" t="s">
        <v>295</v>
      </c>
      <c r="D315" s="29">
        <v>46139.513148148151</v>
      </c>
      <c r="E315" s="34" t="s">
        <v>287</v>
      </c>
      <c r="F315" t="b">
        <v>1</v>
      </c>
      <c r="G315" s="34" t="s">
        <v>581</v>
      </c>
      <c r="H315" t="b">
        <v>0</v>
      </c>
    </row>
    <row r="316" spans="1:8" x14ac:dyDescent="0.35">
      <c r="A316" s="34" t="s">
        <v>634</v>
      </c>
      <c r="B316" s="34" t="s">
        <v>294</v>
      </c>
      <c r="C316" s="34" t="s">
        <v>295</v>
      </c>
      <c r="D316" s="29">
        <v>46139.513043981482</v>
      </c>
      <c r="E316" s="34" t="s">
        <v>287</v>
      </c>
      <c r="F316" t="b">
        <v>1</v>
      </c>
      <c r="G316" s="34" t="s">
        <v>581</v>
      </c>
      <c r="H316" t="b">
        <v>0</v>
      </c>
    </row>
    <row r="317" spans="1:8" x14ac:dyDescent="0.35">
      <c r="A317" s="34" t="s">
        <v>630</v>
      </c>
      <c r="B317" s="34" t="s">
        <v>224</v>
      </c>
      <c r="C317" s="34" t="s">
        <v>424</v>
      </c>
      <c r="D317" s="29">
        <v>46139.474143518521</v>
      </c>
      <c r="E317" s="34" t="s">
        <v>287</v>
      </c>
      <c r="F317" t="b">
        <v>1</v>
      </c>
      <c r="G317" s="34" t="s">
        <v>222</v>
      </c>
      <c r="H317" t="b">
        <v>0</v>
      </c>
    </row>
    <row r="318" spans="1:8" x14ac:dyDescent="0.35">
      <c r="A318" s="34" t="s">
        <v>635</v>
      </c>
      <c r="B318" s="34" t="s">
        <v>336</v>
      </c>
      <c r="C318" s="34" t="s">
        <v>337</v>
      </c>
      <c r="D318" s="29">
        <v>46139.473009259258</v>
      </c>
      <c r="E318" s="34" t="s">
        <v>287</v>
      </c>
      <c r="F318" t="b">
        <v>1</v>
      </c>
      <c r="G318" s="34" t="s">
        <v>226</v>
      </c>
      <c r="H318" t="b">
        <v>1</v>
      </c>
    </row>
    <row r="319" spans="1:8" x14ac:dyDescent="0.35">
      <c r="A319" s="34" t="s">
        <v>628</v>
      </c>
      <c r="B319" s="34" t="s">
        <v>294</v>
      </c>
      <c r="C319" s="34" t="s">
        <v>295</v>
      </c>
      <c r="D319" s="29">
        <v>46139.467453703706</v>
      </c>
      <c r="E319" s="34" t="s">
        <v>287</v>
      </c>
      <c r="F319" t="b">
        <v>1</v>
      </c>
      <c r="G319" s="34" t="s">
        <v>380</v>
      </c>
      <c r="H319" t="b">
        <v>0</v>
      </c>
    </row>
    <row r="320" spans="1:8" x14ac:dyDescent="0.35">
      <c r="A320" s="34" t="s">
        <v>636</v>
      </c>
      <c r="B320" s="34" t="s">
        <v>285</v>
      </c>
      <c r="C320" s="34" t="s">
        <v>286</v>
      </c>
      <c r="D320" s="29">
        <v>46139.44976851852</v>
      </c>
      <c r="E320" s="34" t="s">
        <v>287</v>
      </c>
      <c r="F320" t="b">
        <v>1</v>
      </c>
      <c r="G320" s="34" t="s">
        <v>226</v>
      </c>
      <c r="H320" t="b">
        <v>0</v>
      </c>
    </row>
    <row r="321" spans="1:8" x14ac:dyDescent="0.35">
      <c r="A321" s="34" t="s">
        <v>636</v>
      </c>
      <c r="B321" s="34" t="s">
        <v>504</v>
      </c>
      <c r="C321" s="34" t="s">
        <v>505</v>
      </c>
      <c r="D321" s="29">
        <v>46139.445543981485</v>
      </c>
      <c r="E321" s="34" t="s">
        <v>287</v>
      </c>
      <c r="F321" t="b">
        <v>1</v>
      </c>
      <c r="G321" s="34" t="s">
        <v>222</v>
      </c>
      <c r="H321" t="b">
        <v>0</v>
      </c>
    </row>
    <row r="322" spans="1:8" x14ac:dyDescent="0.35">
      <c r="A322" s="34" t="s">
        <v>636</v>
      </c>
      <c r="B322" s="34" t="s">
        <v>285</v>
      </c>
      <c r="C322" s="34" t="s">
        <v>286</v>
      </c>
      <c r="D322" s="29">
        <v>46139.443402777775</v>
      </c>
      <c r="E322" s="34" t="s">
        <v>287</v>
      </c>
      <c r="F322" t="b">
        <v>1</v>
      </c>
      <c r="G322" s="34" t="s">
        <v>222</v>
      </c>
      <c r="H322" t="b">
        <v>0</v>
      </c>
    </row>
    <row r="323" spans="1:8" x14ac:dyDescent="0.35">
      <c r="A323" s="34" t="s">
        <v>636</v>
      </c>
      <c r="B323" s="34" t="s">
        <v>504</v>
      </c>
      <c r="C323" s="34" t="s">
        <v>505</v>
      </c>
      <c r="D323" s="29">
        <v>46139.400752314818</v>
      </c>
      <c r="E323" s="34" t="s">
        <v>287</v>
      </c>
      <c r="F323" t="b">
        <v>1</v>
      </c>
      <c r="G323" s="34" t="s">
        <v>222</v>
      </c>
      <c r="H323" t="b">
        <v>0</v>
      </c>
    </row>
    <row r="324" spans="1:8" x14ac:dyDescent="0.35">
      <c r="A324" s="34" t="s">
        <v>299</v>
      </c>
      <c r="B324" s="34" t="s">
        <v>300</v>
      </c>
      <c r="C324" s="34" t="s">
        <v>301</v>
      </c>
      <c r="D324" s="29">
        <v>46139.271192129629</v>
      </c>
      <c r="E324" s="34" t="s">
        <v>287</v>
      </c>
      <c r="F324" t="b">
        <v>1</v>
      </c>
      <c r="G324" s="34" t="s">
        <v>302</v>
      </c>
      <c r="H324" t="b">
        <v>0</v>
      </c>
    </row>
    <row r="325" spans="1:8" x14ac:dyDescent="0.35">
      <c r="A325" s="34" t="s">
        <v>299</v>
      </c>
      <c r="B325" s="34" t="s">
        <v>300</v>
      </c>
      <c r="C325" s="34" t="s">
        <v>301</v>
      </c>
      <c r="D325" s="29">
        <v>46138.271273148152</v>
      </c>
      <c r="E325" s="34" t="s">
        <v>287</v>
      </c>
      <c r="F325" t="b">
        <v>1</v>
      </c>
      <c r="G325" s="34" t="s">
        <v>302</v>
      </c>
      <c r="H325" t="b">
        <v>0</v>
      </c>
    </row>
    <row r="326" spans="1:8" x14ac:dyDescent="0.35">
      <c r="A326" s="34" t="s">
        <v>637</v>
      </c>
      <c r="B326" s="34" t="s">
        <v>294</v>
      </c>
      <c r="C326" s="34" t="s">
        <v>295</v>
      </c>
      <c r="D326" s="29">
        <v>46138.233310185184</v>
      </c>
      <c r="E326" s="34" t="s">
        <v>287</v>
      </c>
      <c r="F326" t="b">
        <v>1</v>
      </c>
      <c r="G326" s="34" t="s">
        <v>222</v>
      </c>
      <c r="H326" t="b">
        <v>0</v>
      </c>
    </row>
    <row r="327" spans="1:8" x14ac:dyDescent="0.35">
      <c r="A327" s="34" t="s">
        <v>638</v>
      </c>
      <c r="B327" s="34" t="s">
        <v>294</v>
      </c>
      <c r="C327" s="34" t="s">
        <v>295</v>
      </c>
      <c r="D327" s="29">
        <v>46138.233310185184</v>
      </c>
      <c r="E327" s="34" t="s">
        <v>287</v>
      </c>
      <c r="F327" t="b">
        <v>1</v>
      </c>
      <c r="G327" s="34" t="s">
        <v>222</v>
      </c>
      <c r="H327" t="b">
        <v>0</v>
      </c>
    </row>
    <row r="328" spans="1:8" x14ac:dyDescent="0.35">
      <c r="A328" s="34" t="s">
        <v>639</v>
      </c>
      <c r="B328" s="34" t="s">
        <v>294</v>
      </c>
      <c r="C328" s="34" t="s">
        <v>295</v>
      </c>
      <c r="D328" s="29">
        <v>46137.711238425924</v>
      </c>
      <c r="E328" s="34" t="s">
        <v>287</v>
      </c>
      <c r="F328" t="b">
        <v>1</v>
      </c>
      <c r="G328" s="34" t="s">
        <v>578</v>
      </c>
      <c r="H328" t="b">
        <v>0</v>
      </c>
    </row>
    <row r="329" spans="1:8" x14ac:dyDescent="0.35">
      <c r="A329" s="34" t="s">
        <v>640</v>
      </c>
      <c r="B329" s="34" t="s">
        <v>294</v>
      </c>
      <c r="C329" s="34" t="s">
        <v>295</v>
      </c>
      <c r="D329" s="29">
        <v>46137.567673611113</v>
      </c>
      <c r="E329" s="34" t="s">
        <v>287</v>
      </c>
      <c r="F329" t="b">
        <v>1</v>
      </c>
      <c r="G329" s="34" t="s">
        <v>396</v>
      </c>
      <c r="H329" t="b">
        <v>0</v>
      </c>
    </row>
    <row r="330" spans="1:8" x14ac:dyDescent="0.35">
      <c r="A330" s="34" t="s">
        <v>299</v>
      </c>
      <c r="B330" s="34" t="s">
        <v>300</v>
      </c>
      <c r="C330" s="34" t="s">
        <v>301</v>
      </c>
      <c r="D330" s="29">
        <v>46137.271111111113</v>
      </c>
      <c r="E330" s="34" t="s">
        <v>287</v>
      </c>
      <c r="F330" t="b">
        <v>1</v>
      </c>
      <c r="G330" s="34" t="s">
        <v>302</v>
      </c>
      <c r="H330" t="b">
        <v>0</v>
      </c>
    </row>
    <row r="331" spans="1:8" x14ac:dyDescent="0.35">
      <c r="A331" s="34" t="s">
        <v>641</v>
      </c>
      <c r="B331" s="34" t="s">
        <v>294</v>
      </c>
      <c r="C331" s="34" t="s">
        <v>295</v>
      </c>
      <c r="D331" s="29">
        <v>46137.143750000003</v>
      </c>
      <c r="E331" s="34" t="s">
        <v>287</v>
      </c>
      <c r="F331" t="b">
        <v>1</v>
      </c>
      <c r="G331" s="34" t="s">
        <v>396</v>
      </c>
      <c r="H331" t="b">
        <v>0</v>
      </c>
    </row>
    <row r="332" spans="1:8" x14ac:dyDescent="0.35">
      <c r="A332" s="34" t="s">
        <v>642</v>
      </c>
      <c r="B332" s="34" t="s">
        <v>294</v>
      </c>
      <c r="C332" s="34" t="s">
        <v>295</v>
      </c>
      <c r="D332" s="29">
        <v>46136.805289351854</v>
      </c>
      <c r="E332" s="34" t="s">
        <v>287</v>
      </c>
      <c r="F332" t="b">
        <v>1</v>
      </c>
      <c r="G332" s="34" t="s">
        <v>288</v>
      </c>
      <c r="H332" t="b">
        <v>0</v>
      </c>
    </row>
    <row r="333" spans="1:8" x14ac:dyDescent="0.35">
      <c r="A333" s="34" t="s">
        <v>636</v>
      </c>
      <c r="B333" s="34" t="s">
        <v>285</v>
      </c>
      <c r="C333" s="34" t="s">
        <v>286</v>
      </c>
      <c r="D333" s="29">
        <v>46136.756111111114</v>
      </c>
      <c r="E333" s="34" t="s">
        <v>287</v>
      </c>
      <c r="F333" t="b">
        <v>1</v>
      </c>
      <c r="G333" s="34" t="s">
        <v>73</v>
      </c>
      <c r="H333" t="b">
        <v>1</v>
      </c>
    </row>
    <row r="334" spans="1:8" x14ac:dyDescent="0.35">
      <c r="A334" s="34" t="s">
        <v>636</v>
      </c>
      <c r="B334" s="34" t="s">
        <v>285</v>
      </c>
      <c r="C334" s="34" t="s">
        <v>286</v>
      </c>
      <c r="D334" s="29">
        <v>46136.732835648145</v>
      </c>
      <c r="E334" s="34" t="s">
        <v>287</v>
      </c>
      <c r="F334" t="b">
        <v>1</v>
      </c>
      <c r="G334" s="34" t="s">
        <v>226</v>
      </c>
      <c r="H334" t="b">
        <v>0</v>
      </c>
    </row>
    <row r="335" spans="1:8" x14ac:dyDescent="0.35">
      <c r="A335" s="34" t="s">
        <v>636</v>
      </c>
      <c r="B335" s="34" t="s">
        <v>504</v>
      </c>
      <c r="C335" s="34" t="s">
        <v>505</v>
      </c>
      <c r="D335" s="29">
        <v>46136.722905092596</v>
      </c>
      <c r="E335" s="34" t="s">
        <v>287</v>
      </c>
      <c r="F335" t="b">
        <v>1</v>
      </c>
      <c r="G335" s="34" t="s">
        <v>288</v>
      </c>
      <c r="H335" t="b">
        <v>0</v>
      </c>
    </row>
    <row r="336" spans="1:8" x14ac:dyDescent="0.35">
      <c r="A336" s="34" t="s">
        <v>636</v>
      </c>
      <c r="B336" s="34" t="s">
        <v>336</v>
      </c>
      <c r="C336" s="34" t="s">
        <v>337</v>
      </c>
      <c r="D336" s="29">
        <v>46136.717118055552</v>
      </c>
      <c r="E336" s="34" t="s">
        <v>287</v>
      </c>
      <c r="F336" t="b">
        <v>1</v>
      </c>
      <c r="G336" s="34" t="s">
        <v>226</v>
      </c>
      <c r="H336" t="b">
        <v>1</v>
      </c>
    </row>
    <row r="337" spans="1:8" x14ac:dyDescent="0.35">
      <c r="A337" s="34" t="s">
        <v>643</v>
      </c>
      <c r="B337" s="34" t="s">
        <v>297</v>
      </c>
      <c r="C337" s="34" t="s">
        <v>298</v>
      </c>
      <c r="D337" s="29">
        <v>46136.650972222225</v>
      </c>
      <c r="E337" s="34" t="s">
        <v>287</v>
      </c>
      <c r="F337" t="b">
        <v>1</v>
      </c>
      <c r="G337" s="34" t="s">
        <v>290</v>
      </c>
      <c r="H337" t="b">
        <v>0</v>
      </c>
    </row>
    <row r="338" spans="1:8" x14ac:dyDescent="0.35">
      <c r="A338" s="34" t="s">
        <v>643</v>
      </c>
      <c r="B338" s="34" t="s">
        <v>227</v>
      </c>
      <c r="C338" s="34" t="s">
        <v>291</v>
      </c>
      <c r="D338" s="29">
        <v>46136.518506944441</v>
      </c>
      <c r="E338" s="34" t="s">
        <v>287</v>
      </c>
      <c r="F338" t="b">
        <v>1</v>
      </c>
      <c r="G338" s="34" t="s">
        <v>288</v>
      </c>
      <c r="H338" t="b">
        <v>0</v>
      </c>
    </row>
    <row r="339" spans="1:8" x14ac:dyDescent="0.35">
      <c r="A339" s="34" t="s">
        <v>643</v>
      </c>
      <c r="B339" s="34" t="s">
        <v>285</v>
      </c>
      <c r="C339" s="34" t="s">
        <v>286</v>
      </c>
      <c r="D339" s="29">
        <v>46136.517650462964</v>
      </c>
      <c r="E339" s="34" t="s">
        <v>287</v>
      </c>
      <c r="F339" t="b">
        <v>1</v>
      </c>
      <c r="G339" s="34" t="s">
        <v>222</v>
      </c>
      <c r="H339" t="b">
        <v>1</v>
      </c>
    </row>
    <row r="340" spans="1:8" x14ac:dyDescent="0.35">
      <c r="A340" s="34" t="s">
        <v>644</v>
      </c>
      <c r="B340" s="34" t="s">
        <v>294</v>
      </c>
      <c r="C340" s="34" t="s">
        <v>295</v>
      </c>
      <c r="D340" s="29">
        <v>46136.517094907409</v>
      </c>
      <c r="E340" s="34" t="s">
        <v>287</v>
      </c>
      <c r="F340" t="b">
        <v>1</v>
      </c>
      <c r="G340" s="34" t="s">
        <v>296</v>
      </c>
      <c r="H340" t="b">
        <v>0</v>
      </c>
    </row>
    <row r="341" spans="1:8" x14ac:dyDescent="0.35">
      <c r="A341" s="34" t="s">
        <v>643</v>
      </c>
      <c r="B341" s="34" t="s">
        <v>285</v>
      </c>
      <c r="C341" s="34" t="s">
        <v>286</v>
      </c>
      <c r="D341" s="29">
        <v>46136.512013888889</v>
      </c>
      <c r="E341" s="34" t="s">
        <v>287</v>
      </c>
      <c r="F341" t="b">
        <v>1</v>
      </c>
      <c r="G341" s="34" t="s">
        <v>222</v>
      </c>
      <c r="H341" t="b">
        <v>0</v>
      </c>
    </row>
    <row r="342" spans="1:8" x14ac:dyDescent="0.35">
      <c r="A342" s="34" t="s">
        <v>645</v>
      </c>
      <c r="B342" s="34" t="s">
        <v>297</v>
      </c>
      <c r="C342" s="34" t="s">
        <v>298</v>
      </c>
      <c r="D342" s="29">
        <v>46136.479328703703</v>
      </c>
      <c r="E342" s="34" t="s">
        <v>287</v>
      </c>
      <c r="F342" t="b">
        <v>1</v>
      </c>
      <c r="G342" s="34" t="s">
        <v>381</v>
      </c>
      <c r="H342" t="b">
        <v>0</v>
      </c>
    </row>
    <row r="343" spans="1:8" x14ac:dyDescent="0.35">
      <c r="A343" s="34" t="s">
        <v>646</v>
      </c>
      <c r="B343" s="34" t="s">
        <v>324</v>
      </c>
      <c r="C343" s="34" t="s">
        <v>325</v>
      </c>
      <c r="D343" s="29">
        <v>46136.46329861111</v>
      </c>
      <c r="E343" s="34" t="s">
        <v>287</v>
      </c>
      <c r="F343" t="b">
        <v>1</v>
      </c>
      <c r="G343" s="34" t="s">
        <v>288</v>
      </c>
      <c r="H343" t="b">
        <v>0</v>
      </c>
    </row>
    <row r="344" spans="1:8" x14ac:dyDescent="0.35">
      <c r="A344" s="34" t="s">
        <v>647</v>
      </c>
      <c r="B344" s="34" t="s">
        <v>297</v>
      </c>
      <c r="C344" s="34" t="s">
        <v>298</v>
      </c>
      <c r="D344" s="29">
        <v>46136.287662037037</v>
      </c>
      <c r="E344" s="34" t="s">
        <v>287</v>
      </c>
      <c r="F344" t="b">
        <v>1</v>
      </c>
      <c r="G344" s="34" t="s">
        <v>222</v>
      </c>
      <c r="H344" t="b">
        <v>0</v>
      </c>
    </row>
    <row r="345" spans="1:8" x14ac:dyDescent="0.35">
      <c r="A345" s="34" t="s">
        <v>299</v>
      </c>
      <c r="B345" s="34" t="s">
        <v>300</v>
      </c>
      <c r="C345" s="34" t="s">
        <v>301</v>
      </c>
      <c r="D345" s="29">
        <v>46136.271157407406</v>
      </c>
      <c r="E345" s="34" t="s">
        <v>287</v>
      </c>
      <c r="F345" t="b">
        <v>1</v>
      </c>
      <c r="G345" s="34" t="s">
        <v>302</v>
      </c>
      <c r="H345" t="b">
        <v>0</v>
      </c>
    </row>
    <row r="346" spans="1:8" x14ac:dyDescent="0.35">
      <c r="A346" s="34" t="s">
        <v>648</v>
      </c>
      <c r="B346" s="34" t="s">
        <v>294</v>
      </c>
      <c r="C346" s="34" t="s">
        <v>295</v>
      </c>
      <c r="D346" s="29">
        <v>46135.684953703705</v>
      </c>
      <c r="E346" s="34" t="s">
        <v>287</v>
      </c>
      <c r="F346" t="b">
        <v>1</v>
      </c>
      <c r="G346" s="34" t="s">
        <v>331</v>
      </c>
      <c r="H346" t="b">
        <v>0</v>
      </c>
    </row>
    <row r="347" spans="1:8" x14ac:dyDescent="0.35">
      <c r="A347" s="34" t="s">
        <v>545</v>
      </c>
      <c r="B347" s="34" t="s">
        <v>546</v>
      </c>
      <c r="C347" s="34" t="s">
        <v>435</v>
      </c>
      <c r="D347" s="29">
        <v>46135.564814814818</v>
      </c>
      <c r="E347" s="34" t="s">
        <v>287</v>
      </c>
      <c r="F347" t="b">
        <v>1</v>
      </c>
      <c r="G347" s="34" t="s">
        <v>73</v>
      </c>
      <c r="H347" t="b">
        <v>0</v>
      </c>
    </row>
    <row r="348" spans="1:8" x14ac:dyDescent="0.35">
      <c r="A348" s="34" t="s">
        <v>649</v>
      </c>
      <c r="B348" s="34" t="s">
        <v>294</v>
      </c>
      <c r="C348" s="34" t="s">
        <v>295</v>
      </c>
      <c r="D348" s="29">
        <v>46135.526261574072</v>
      </c>
      <c r="E348" s="34" t="s">
        <v>287</v>
      </c>
      <c r="F348" t="b">
        <v>1</v>
      </c>
      <c r="G348" s="34" t="s">
        <v>380</v>
      </c>
      <c r="H348" t="b">
        <v>0</v>
      </c>
    </row>
    <row r="349" spans="1:8" x14ac:dyDescent="0.35">
      <c r="A349" s="34" t="s">
        <v>650</v>
      </c>
      <c r="B349" s="34" t="s">
        <v>297</v>
      </c>
      <c r="C349" s="34" t="s">
        <v>298</v>
      </c>
      <c r="D349" s="29">
        <v>46135.526203703703</v>
      </c>
      <c r="E349" s="34" t="s">
        <v>287</v>
      </c>
      <c r="F349" t="b">
        <v>1</v>
      </c>
      <c r="G349" s="34" t="s">
        <v>222</v>
      </c>
      <c r="H349" t="b">
        <v>1</v>
      </c>
    </row>
    <row r="350" spans="1:8" x14ac:dyDescent="0.35">
      <c r="A350" s="34" t="s">
        <v>651</v>
      </c>
      <c r="B350" s="34" t="s">
        <v>294</v>
      </c>
      <c r="C350" s="34" t="s">
        <v>295</v>
      </c>
      <c r="D350" s="29">
        <v>46135.460266203707</v>
      </c>
      <c r="E350" s="34" t="s">
        <v>287</v>
      </c>
      <c r="F350" t="b">
        <v>1</v>
      </c>
      <c r="G350" s="34" t="s">
        <v>412</v>
      </c>
      <c r="H350" t="b">
        <v>0</v>
      </c>
    </row>
    <row r="351" spans="1:8" x14ac:dyDescent="0.35">
      <c r="A351" s="34" t="s">
        <v>299</v>
      </c>
      <c r="B351" s="34" t="s">
        <v>300</v>
      </c>
      <c r="C351" s="34" t="s">
        <v>301</v>
      </c>
      <c r="D351" s="29">
        <v>46135.271053240744</v>
      </c>
      <c r="E351" s="34" t="s">
        <v>287</v>
      </c>
      <c r="F351" t="b">
        <v>1</v>
      </c>
      <c r="G351" s="34" t="s">
        <v>302</v>
      </c>
      <c r="H351" t="b">
        <v>0</v>
      </c>
    </row>
    <row r="352" spans="1:8" x14ac:dyDescent="0.35">
      <c r="A352" s="34" t="s">
        <v>408</v>
      </c>
      <c r="B352" s="34" t="s">
        <v>324</v>
      </c>
      <c r="C352" s="34" t="s">
        <v>325</v>
      </c>
      <c r="D352" s="29">
        <v>46134.73474537037</v>
      </c>
      <c r="E352" s="34" t="s">
        <v>287</v>
      </c>
      <c r="F352" t="b">
        <v>1</v>
      </c>
      <c r="G352" s="34" t="s">
        <v>288</v>
      </c>
      <c r="H352" t="b">
        <v>0</v>
      </c>
    </row>
    <row r="353" spans="1:8" x14ac:dyDescent="0.35">
      <c r="A353" s="34" t="s">
        <v>503</v>
      </c>
      <c r="B353" s="34" t="s">
        <v>504</v>
      </c>
      <c r="C353" s="34" t="s">
        <v>505</v>
      </c>
      <c r="D353" s="29">
        <v>46134.709537037037</v>
      </c>
      <c r="E353" s="34" t="s">
        <v>287</v>
      </c>
      <c r="F353" t="b">
        <v>1</v>
      </c>
      <c r="G353" s="34" t="s">
        <v>288</v>
      </c>
      <c r="H353" t="b">
        <v>0</v>
      </c>
    </row>
    <row r="354" spans="1:8" x14ac:dyDescent="0.35">
      <c r="A354" s="34" t="s">
        <v>503</v>
      </c>
      <c r="B354" s="34" t="s">
        <v>285</v>
      </c>
      <c r="C354" s="34" t="s">
        <v>286</v>
      </c>
      <c r="D354" s="29">
        <v>46134.70045138889</v>
      </c>
      <c r="E354" s="34" t="s">
        <v>287</v>
      </c>
      <c r="F354" t="b">
        <v>1</v>
      </c>
      <c r="G354" s="34" t="s">
        <v>222</v>
      </c>
      <c r="H354" t="b">
        <v>0</v>
      </c>
    </row>
    <row r="355" spans="1:8" x14ac:dyDescent="0.35">
      <c r="A355" s="34" t="s">
        <v>501</v>
      </c>
      <c r="B355" s="34" t="s">
        <v>294</v>
      </c>
      <c r="C355" s="34" t="s">
        <v>295</v>
      </c>
      <c r="D355" s="29">
        <v>46134.623981481483</v>
      </c>
      <c r="E355" s="34" t="s">
        <v>287</v>
      </c>
      <c r="F355" t="b">
        <v>1</v>
      </c>
      <c r="G355" s="34" t="s">
        <v>380</v>
      </c>
      <c r="H355" t="b">
        <v>0</v>
      </c>
    </row>
    <row r="356" spans="1:8" x14ac:dyDescent="0.35">
      <c r="A356" s="34" t="s">
        <v>502</v>
      </c>
      <c r="B356" s="34" t="s">
        <v>310</v>
      </c>
      <c r="C356" s="34" t="s">
        <v>311</v>
      </c>
      <c r="D356" s="29">
        <v>46134.53701388889</v>
      </c>
      <c r="E356" s="34" t="s">
        <v>287</v>
      </c>
      <c r="F356" t="b">
        <v>1</v>
      </c>
      <c r="G356" s="34" t="s">
        <v>222</v>
      </c>
      <c r="H356" t="b">
        <v>1</v>
      </c>
    </row>
    <row r="357" spans="1:8" x14ac:dyDescent="0.35">
      <c r="A357" s="34" t="s">
        <v>503</v>
      </c>
      <c r="B357" s="34" t="s">
        <v>285</v>
      </c>
      <c r="C357" s="34" t="s">
        <v>286</v>
      </c>
      <c r="D357" s="29">
        <v>46134.511250000003</v>
      </c>
      <c r="E357" s="34" t="s">
        <v>287</v>
      </c>
      <c r="F357" t="b">
        <v>1</v>
      </c>
      <c r="G357" s="34" t="s">
        <v>222</v>
      </c>
      <c r="H357" t="b">
        <v>0</v>
      </c>
    </row>
    <row r="358" spans="1:8" x14ac:dyDescent="0.35">
      <c r="A358" s="34" t="s">
        <v>503</v>
      </c>
      <c r="B358" s="34" t="s">
        <v>504</v>
      </c>
      <c r="C358" s="34" t="s">
        <v>505</v>
      </c>
      <c r="D358" s="29">
        <v>46134.504583333335</v>
      </c>
      <c r="E358" s="34" t="s">
        <v>287</v>
      </c>
      <c r="F358" t="b">
        <v>1</v>
      </c>
      <c r="G358" s="34" t="s">
        <v>222</v>
      </c>
      <c r="H358" t="b">
        <v>0</v>
      </c>
    </row>
    <row r="359" spans="1:8" x14ac:dyDescent="0.35">
      <c r="A359" s="34" t="s">
        <v>299</v>
      </c>
      <c r="B359" s="34" t="s">
        <v>300</v>
      </c>
      <c r="C359" s="34" t="s">
        <v>301</v>
      </c>
      <c r="D359" s="29">
        <v>46134.271018518521</v>
      </c>
      <c r="E359" s="34" t="s">
        <v>287</v>
      </c>
      <c r="F359" t="b">
        <v>1</v>
      </c>
      <c r="G359" s="34" t="s">
        <v>302</v>
      </c>
      <c r="H359" t="b">
        <v>0</v>
      </c>
    </row>
    <row r="360" spans="1:8" x14ac:dyDescent="0.35">
      <c r="A360" s="34" t="s">
        <v>502</v>
      </c>
      <c r="B360" s="34" t="s">
        <v>310</v>
      </c>
      <c r="C360" s="34" t="s">
        <v>311</v>
      </c>
      <c r="D360" s="29">
        <v>46133.971886574072</v>
      </c>
      <c r="E360" s="34" t="s">
        <v>287</v>
      </c>
      <c r="F360" t="b">
        <v>1</v>
      </c>
      <c r="G360" s="34" t="s">
        <v>222</v>
      </c>
      <c r="H360" t="b">
        <v>1</v>
      </c>
    </row>
    <row r="361" spans="1:8" x14ac:dyDescent="0.35">
      <c r="A361" s="34" t="s">
        <v>506</v>
      </c>
      <c r="B361" s="34" t="s">
        <v>294</v>
      </c>
      <c r="C361" s="34" t="s">
        <v>295</v>
      </c>
      <c r="D361" s="29">
        <v>46133.612962962965</v>
      </c>
      <c r="E361" s="34" t="s">
        <v>287</v>
      </c>
      <c r="F361" t="b">
        <v>1</v>
      </c>
      <c r="G361" s="34" t="s">
        <v>296</v>
      </c>
      <c r="H361" t="b">
        <v>0</v>
      </c>
    </row>
    <row r="362" spans="1:8" x14ac:dyDescent="0.35">
      <c r="A362" s="34" t="s">
        <v>507</v>
      </c>
      <c r="B362" s="34" t="s">
        <v>294</v>
      </c>
      <c r="C362" s="34" t="s">
        <v>295</v>
      </c>
      <c r="D362" s="29">
        <v>46133.508819444447</v>
      </c>
      <c r="E362" s="34" t="s">
        <v>287</v>
      </c>
      <c r="F362" t="b">
        <v>1</v>
      </c>
      <c r="G362" s="34" t="s">
        <v>406</v>
      </c>
      <c r="H362" t="b">
        <v>0</v>
      </c>
    </row>
    <row r="363" spans="1:8" x14ac:dyDescent="0.35">
      <c r="A363" s="34" t="s">
        <v>508</v>
      </c>
      <c r="B363" s="34" t="s">
        <v>324</v>
      </c>
      <c r="C363" s="34" t="s">
        <v>325</v>
      </c>
      <c r="D363" s="29">
        <v>46133.482245370367</v>
      </c>
      <c r="E363" s="34" t="s">
        <v>287</v>
      </c>
      <c r="F363" t="b">
        <v>1</v>
      </c>
      <c r="G363" s="34" t="s">
        <v>288</v>
      </c>
      <c r="H363" t="b">
        <v>0</v>
      </c>
    </row>
    <row r="364" spans="1:8" x14ac:dyDescent="0.35">
      <c r="A364" s="34" t="s">
        <v>509</v>
      </c>
      <c r="B364" s="34" t="s">
        <v>336</v>
      </c>
      <c r="C364" s="34" t="s">
        <v>337</v>
      </c>
      <c r="D364" s="29">
        <v>46133.426030092596</v>
      </c>
      <c r="E364" s="34" t="s">
        <v>287</v>
      </c>
      <c r="F364" t="b">
        <v>1</v>
      </c>
      <c r="G364" s="34" t="s">
        <v>222</v>
      </c>
      <c r="H364" t="b">
        <v>0</v>
      </c>
    </row>
    <row r="365" spans="1:8" x14ac:dyDescent="0.35">
      <c r="A365" s="34" t="s">
        <v>299</v>
      </c>
      <c r="B365" s="34" t="s">
        <v>300</v>
      </c>
      <c r="C365" s="34" t="s">
        <v>301</v>
      </c>
      <c r="D365" s="29">
        <v>46133.27103009259</v>
      </c>
      <c r="E365" s="34" t="s">
        <v>287</v>
      </c>
      <c r="F365" t="b">
        <v>1</v>
      </c>
      <c r="G365" s="34" t="s">
        <v>302</v>
      </c>
      <c r="H365" t="b">
        <v>0</v>
      </c>
    </row>
    <row r="366" spans="1:8" x14ac:dyDescent="0.35">
      <c r="A366" s="34" t="s">
        <v>510</v>
      </c>
      <c r="B366" s="34" t="s">
        <v>285</v>
      </c>
      <c r="C366" s="34" t="s">
        <v>286</v>
      </c>
      <c r="D366" s="29">
        <v>46132.697650462964</v>
      </c>
      <c r="E366" s="34" t="s">
        <v>287</v>
      </c>
      <c r="F366" t="b">
        <v>1</v>
      </c>
      <c r="G366" s="34" t="s">
        <v>226</v>
      </c>
      <c r="H366" t="b">
        <v>0</v>
      </c>
    </row>
    <row r="367" spans="1:8" x14ac:dyDescent="0.35">
      <c r="A367" s="34" t="s">
        <v>512</v>
      </c>
      <c r="B367" s="34" t="s">
        <v>315</v>
      </c>
      <c r="C367" s="34" t="s">
        <v>316</v>
      </c>
      <c r="D367" s="29">
        <v>46132.688622685186</v>
      </c>
      <c r="E367" s="34" t="s">
        <v>287</v>
      </c>
      <c r="F367" t="b">
        <v>1</v>
      </c>
      <c r="G367" s="34" t="s">
        <v>288</v>
      </c>
      <c r="H367" t="b">
        <v>0</v>
      </c>
    </row>
    <row r="368" spans="1:8" x14ac:dyDescent="0.35">
      <c r="A368" s="34" t="s">
        <v>510</v>
      </c>
      <c r="B368" s="34" t="s">
        <v>285</v>
      </c>
      <c r="C368" s="34" t="s">
        <v>286</v>
      </c>
      <c r="D368" s="29">
        <v>46132.67732638889</v>
      </c>
      <c r="E368" s="34" t="s">
        <v>287</v>
      </c>
      <c r="F368" t="b">
        <v>1</v>
      </c>
      <c r="G368" s="34" t="s">
        <v>226</v>
      </c>
      <c r="H368" t="b">
        <v>0</v>
      </c>
    </row>
    <row r="369" spans="1:8" x14ac:dyDescent="0.35">
      <c r="A369" s="34" t="s">
        <v>503</v>
      </c>
      <c r="B369" s="34" t="s">
        <v>504</v>
      </c>
      <c r="C369" s="34" t="s">
        <v>505</v>
      </c>
      <c r="D369" s="29">
        <v>46132.669548611113</v>
      </c>
      <c r="E369" s="34" t="s">
        <v>287</v>
      </c>
      <c r="F369" t="b">
        <v>1</v>
      </c>
      <c r="G369" s="34" t="s">
        <v>222</v>
      </c>
      <c r="H369" t="b">
        <v>0</v>
      </c>
    </row>
    <row r="370" spans="1:8" x14ac:dyDescent="0.35">
      <c r="A370" s="34" t="s">
        <v>513</v>
      </c>
      <c r="B370" s="34" t="s">
        <v>224</v>
      </c>
      <c r="C370" s="34" t="s">
        <v>424</v>
      </c>
      <c r="D370" s="29">
        <v>46132.629675925928</v>
      </c>
      <c r="E370" s="34" t="s">
        <v>287</v>
      </c>
      <c r="F370" t="b">
        <v>1</v>
      </c>
      <c r="G370" s="34" t="s">
        <v>222</v>
      </c>
      <c r="H370" t="b">
        <v>0</v>
      </c>
    </row>
    <row r="371" spans="1:8" x14ac:dyDescent="0.35">
      <c r="A371" s="34" t="s">
        <v>503</v>
      </c>
      <c r="B371" s="34" t="s">
        <v>285</v>
      </c>
      <c r="C371" s="34" t="s">
        <v>286</v>
      </c>
      <c r="D371" s="29">
        <v>46132.539143518516</v>
      </c>
      <c r="E371" s="34" t="s">
        <v>287</v>
      </c>
      <c r="F371" t="b">
        <v>1</v>
      </c>
      <c r="G371" s="34" t="s">
        <v>226</v>
      </c>
      <c r="H371" t="b">
        <v>1</v>
      </c>
    </row>
    <row r="372" spans="1:8" x14ac:dyDescent="0.35">
      <c r="A372" s="34" t="s">
        <v>510</v>
      </c>
      <c r="B372" s="34" t="s">
        <v>350</v>
      </c>
      <c r="C372" s="34" t="s">
        <v>351</v>
      </c>
      <c r="D372" s="29">
        <v>46132.536180555559</v>
      </c>
      <c r="E372" s="34" t="s">
        <v>287</v>
      </c>
      <c r="F372" t="b">
        <v>1</v>
      </c>
      <c r="G372" s="34" t="s">
        <v>288</v>
      </c>
      <c r="H372" t="b">
        <v>1</v>
      </c>
    </row>
    <row r="373" spans="1:8" x14ac:dyDescent="0.35">
      <c r="A373" s="34" t="s">
        <v>514</v>
      </c>
      <c r="B373" s="34" t="s">
        <v>294</v>
      </c>
      <c r="C373" s="34" t="s">
        <v>295</v>
      </c>
      <c r="D373" s="29">
        <v>46132.488969907405</v>
      </c>
      <c r="E373" s="34" t="s">
        <v>287</v>
      </c>
      <c r="F373" t="b">
        <v>1</v>
      </c>
      <c r="G373" s="34" t="s">
        <v>380</v>
      </c>
      <c r="H373" t="b">
        <v>0</v>
      </c>
    </row>
    <row r="374" spans="1:8" x14ac:dyDescent="0.35">
      <c r="A374" s="34" t="s">
        <v>510</v>
      </c>
      <c r="B374" s="34" t="s">
        <v>285</v>
      </c>
      <c r="C374" s="34" t="s">
        <v>286</v>
      </c>
      <c r="D374" s="29">
        <v>46132.484594907408</v>
      </c>
      <c r="E374" s="34" t="s">
        <v>287</v>
      </c>
      <c r="F374" t="b">
        <v>1</v>
      </c>
      <c r="G374" s="34" t="s">
        <v>222</v>
      </c>
      <c r="H374" t="b">
        <v>0</v>
      </c>
    </row>
    <row r="375" spans="1:8" x14ac:dyDescent="0.35">
      <c r="A375" s="34" t="s">
        <v>515</v>
      </c>
      <c r="B375" s="34" t="s">
        <v>324</v>
      </c>
      <c r="C375" s="34" t="s">
        <v>325</v>
      </c>
      <c r="D375" s="29">
        <v>46132.481666666667</v>
      </c>
      <c r="E375" s="34" t="s">
        <v>287</v>
      </c>
      <c r="F375" t="b">
        <v>1</v>
      </c>
      <c r="G375" s="34" t="s">
        <v>288</v>
      </c>
      <c r="H375" t="b">
        <v>0</v>
      </c>
    </row>
    <row r="376" spans="1:8" x14ac:dyDescent="0.35">
      <c r="A376" s="34" t="s">
        <v>503</v>
      </c>
      <c r="B376" s="34" t="s">
        <v>504</v>
      </c>
      <c r="C376" s="34" t="s">
        <v>505</v>
      </c>
      <c r="D376" s="29">
        <v>46132.38559027778</v>
      </c>
      <c r="E376" s="34" t="s">
        <v>287</v>
      </c>
      <c r="F376" t="b">
        <v>1</v>
      </c>
      <c r="G376" s="34" t="s">
        <v>222</v>
      </c>
      <c r="H376" t="b">
        <v>0</v>
      </c>
    </row>
    <row r="377" spans="1:8" x14ac:dyDescent="0.35">
      <c r="A377" s="34" t="s">
        <v>516</v>
      </c>
      <c r="B377" s="34" t="s">
        <v>382</v>
      </c>
      <c r="C377" s="34" t="s">
        <v>383</v>
      </c>
      <c r="D377" s="29">
        <v>46132.365706018521</v>
      </c>
      <c r="E377" s="34" t="s">
        <v>287</v>
      </c>
      <c r="F377" t="b">
        <v>1</v>
      </c>
      <c r="G377" s="34" t="s">
        <v>222</v>
      </c>
      <c r="H377" t="b">
        <v>0</v>
      </c>
    </row>
    <row r="378" spans="1:8" x14ac:dyDescent="0.35">
      <c r="A378" s="34" t="s">
        <v>513</v>
      </c>
      <c r="B378" s="34" t="s">
        <v>285</v>
      </c>
      <c r="C378" s="34" t="s">
        <v>286</v>
      </c>
      <c r="D378" s="29">
        <v>46132.365682870368</v>
      </c>
      <c r="E378" s="34" t="s">
        <v>287</v>
      </c>
      <c r="F378" t="b">
        <v>1</v>
      </c>
      <c r="G378" s="34" t="s">
        <v>290</v>
      </c>
      <c r="H378" t="b">
        <v>1</v>
      </c>
    </row>
    <row r="379" spans="1:8" x14ac:dyDescent="0.35">
      <c r="A379" s="34" t="s">
        <v>517</v>
      </c>
      <c r="B379" s="34" t="s">
        <v>225</v>
      </c>
      <c r="C379" s="34" t="s">
        <v>353</v>
      </c>
      <c r="D379" s="29">
        <v>46132.36440972222</v>
      </c>
      <c r="E379" s="34" t="s">
        <v>287</v>
      </c>
      <c r="F379" t="b">
        <v>1</v>
      </c>
      <c r="G379" s="34" t="s">
        <v>222</v>
      </c>
      <c r="H379" t="b">
        <v>0</v>
      </c>
    </row>
    <row r="380" spans="1:8" x14ac:dyDescent="0.35">
      <c r="A380" s="34" t="s">
        <v>407</v>
      </c>
      <c r="B380" s="34" t="s">
        <v>225</v>
      </c>
      <c r="C380" s="34" t="s">
        <v>353</v>
      </c>
      <c r="D380" s="29">
        <v>46132.363692129627</v>
      </c>
      <c r="E380" s="34" t="s">
        <v>287</v>
      </c>
      <c r="F380" t="b">
        <v>1</v>
      </c>
      <c r="G380" s="34" t="s">
        <v>518</v>
      </c>
      <c r="H380" t="b">
        <v>0</v>
      </c>
    </row>
    <row r="381" spans="1:8" x14ac:dyDescent="0.35">
      <c r="A381" s="34" t="s">
        <v>500</v>
      </c>
      <c r="B381" s="34" t="s">
        <v>297</v>
      </c>
      <c r="C381" s="34" t="s">
        <v>298</v>
      </c>
      <c r="D381" s="29">
        <v>46132.332118055558</v>
      </c>
      <c r="E381" s="34" t="s">
        <v>287</v>
      </c>
      <c r="F381" t="b">
        <v>1</v>
      </c>
      <c r="G381" s="34" t="s">
        <v>363</v>
      </c>
      <c r="H381" t="b">
        <v>0</v>
      </c>
    </row>
    <row r="382" spans="1:8" x14ac:dyDescent="0.35">
      <c r="A382" s="34" t="s">
        <v>299</v>
      </c>
      <c r="B382" s="34" t="s">
        <v>300</v>
      </c>
      <c r="C382" s="34" t="s">
        <v>301</v>
      </c>
      <c r="D382" s="29">
        <v>46132.271249999998</v>
      </c>
      <c r="E382" s="34" t="s">
        <v>287</v>
      </c>
      <c r="F382" t="b">
        <v>1</v>
      </c>
      <c r="G382" s="34" t="s">
        <v>222</v>
      </c>
      <c r="H382" t="b">
        <v>0</v>
      </c>
    </row>
    <row r="383" spans="1:8" x14ac:dyDescent="0.35">
      <c r="A383" s="34" t="s">
        <v>299</v>
      </c>
      <c r="B383" s="34" t="s">
        <v>300</v>
      </c>
      <c r="C383" s="34" t="s">
        <v>301</v>
      </c>
      <c r="D383" s="29">
        <v>46131.270972222221</v>
      </c>
      <c r="E383" s="34" t="s">
        <v>287</v>
      </c>
      <c r="F383" t="b">
        <v>1</v>
      </c>
      <c r="G383" s="34" t="s">
        <v>222</v>
      </c>
      <c r="H383" t="b">
        <v>0</v>
      </c>
    </row>
    <row r="384" spans="1:8" x14ac:dyDescent="0.35">
      <c r="A384" s="34" t="s">
        <v>299</v>
      </c>
      <c r="B384" s="34" t="s">
        <v>300</v>
      </c>
      <c r="C384" s="34" t="s">
        <v>301</v>
      </c>
      <c r="D384" s="29">
        <v>46130.270960648151</v>
      </c>
      <c r="E384" s="34" t="s">
        <v>287</v>
      </c>
      <c r="F384" t="b">
        <v>1</v>
      </c>
      <c r="G384" s="34" t="s">
        <v>222</v>
      </c>
      <c r="H384" t="b">
        <v>0</v>
      </c>
    </row>
    <row r="385" spans="1:8" x14ac:dyDescent="0.35">
      <c r="A385" s="34" t="s">
        <v>503</v>
      </c>
      <c r="B385" s="34" t="s">
        <v>285</v>
      </c>
      <c r="C385" s="34" t="s">
        <v>286</v>
      </c>
      <c r="D385" s="29">
        <v>46129.795844907407</v>
      </c>
      <c r="E385" s="34" t="s">
        <v>287</v>
      </c>
      <c r="F385" t="b">
        <v>1</v>
      </c>
      <c r="G385" s="34" t="s">
        <v>226</v>
      </c>
      <c r="H385" t="b">
        <v>1</v>
      </c>
    </row>
    <row r="386" spans="1:8" x14ac:dyDescent="0.35">
      <c r="A386" s="34" t="s">
        <v>513</v>
      </c>
      <c r="B386" s="34" t="s">
        <v>382</v>
      </c>
      <c r="C386" s="34" t="s">
        <v>383</v>
      </c>
      <c r="D386" s="29">
        <v>46129.757407407407</v>
      </c>
      <c r="E386" s="34" t="s">
        <v>287</v>
      </c>
      <c r="F386" t="b">
        <v>1</v>
      </c>
      <c r="G386" s="34" t="s">
        <v>222</v>
      </c>
      <c r="H386" t="b">
        <v>0</v>
      </c>
    </row>
    <row r="387" spans="1:8" x14ac:dyDescent="0.35">
      <c r="A387" s="34" t="s">
        <v>519</v>
      </c>
      <c r="B387" s="34" t="s">
        <v>382</v>
      </c>
      <c r="C387" s="34" t="s">
        <v>383</v>
      </c>
      <c r="D387" s="29">
        <v>46129.756979166668</v>
      </c>
      <c r="E387" s="34" t="s">
        <v>287</v>
      </c>
      <c r="F387" t="b">
        <v>1</v>
      </c>
      <c r="G387" s="34" t="s">
        <v>222</v>
      </c>
      <c r="H387" t="b">
        <v>0</v>
      </c>
    </row>
    <row r="388" spans="1:8" x14ac:dyDescent="0.35">
      <c r="A388" s="34" t="s">
        <v>520</v>
      </c>
      <c r="B388" s="34" t="s">
        <v>224</v>
      </c>
      <c r="C388" s="34" t="s">
        <v>424</v>
      </c>
      <c r="D388" s="29">
        <v>46129.747986111113</v>
      </c>
      <c r="E388" s="34" t="s">
        <v>287</v>
      </c>
      <c r="F388" t="b">
        <v>1</v>
      </c>
      <c r="G388" s="34" t="s">
        <v>226</v>
      </c>
      <c r="H388" t="b">
        <v>0</v>
      </c>
    </row>
    <row r="389" spans="1:8" x14ac:dyDescent="0.35">
      <c r="A389" s="34" t="s">
        <v>520</v>
      </c>
      <c r="B389" s="34" t="s">
        <v>324</v>
      </c>
      <c r="C389" s="34" t="s">
        <v>325</v>
      </c>
      <c r="D389" s="29">
        <v>46129.736203703702</v>
      </c>
      <c r="E389" s="34" t="s">
        <v>287</v>
      </c>
      <c r="F389" t="b">
        <v>1</v>
      </c>
      <c r="G389" s="34" t="s">
        <v>226</v>
      </c>
      <c r="H389" t="b">
        <v>0</v>
      </c>
    </row>
    <row r="390" spans="1:8" x14ac:dyDescent="0.35">
      <c r="A390" s="34" t="s">
        <v>407</v>
      </c>
      <c r="B390" s="34" t="s">
        <v>285</v>
      </c>
      <c r="C390" s="34" t="s">
        <v>286</v>
      </c>
      <c r="D390" s="29">
        <v>46129.721562500003</v>
      </c>
      <c r="E390" s="34" t="s">
        <v>287</v>
      </c>
      <c r="F390" t="b">
        <v>1</v>
      </c>
      <c r="G390" s="34" t="s">
        <v>226</v>
      </c>
      <c r="H390" t="b">
        <v>0</v>
      </c>
    </row>
    <row r="391" spans="1:8" x14ac:dyDescent="0.35">
      <c r="A391" s="34" t="s">
        <v>513</v>
      </c>
      <c r="B391" s="34" t="s">
        <v>224</v>
      </c>
      <c r="C391" s="34" t="s">
        <v>424</v>
      </c>
      <c r="D391" s="29">
        <v>46129.657083333332</v>
      </c>
      <c r="E391" s="34" t="s">
        <v>287</v>
      </c>
      <c r="F391" t="b">
        <v>1</v>
      </c>
      <c r="G391" s="34" t="s">
        <v>226</v>
      </c>
      <c r="H391" t="b">
        <v>0</v>
      </c>
    </row>
    <row r="392" spans="1:8" x14ac:dyDescent="0.35">
      <c r="A392" s="34" t="s">
        <v>521</v>
      </c>
      <c r="B392" s="34" t="s">
        <v>294</v>
      </c>
      <c r="C392" s="34" t="s">
        <v>295</v>
      </c>
      <c r="D392" s="29">
        <v>46129.639976851853</v>
      </c>
      <c r="E392" s="34" t="s">
        <v>287</v>
      </c>
      <c r="F392" t="b">
        <v>1</v>
      </c>
      <c r="G392" s="34" t="s">
        <v>406</v>
      </c>
      <c r="H392" t="b">
        <v>0</v>
      </c>
    </row>
    <row r="393" spans="1:8" x14ac:dyDescent="0.35">
      <c r="A393" s="34" t="s">
        <v>513</v>
      </c>
      <c r="B393" s="34" t="s">
        <v>398</v>
      </c>
      <c r="C393" s="34" t="s">
        <v>399</v>
      </c>
      <c r="D393" s="29">
        <v>46129.630057870374</v>
      </c>
      <c r="E393" s="34" t="s">
        <v>287</v>
      </c>
      <c r="F393" t="b">
        <v>1</v>
      </c>
      <c r="G393" s="34" t="s">
        <v>222</v>
      </c>
      <c r="H393" t="b">
        <v>0</v>
      </c>
    </row>
    <row r="394" spans="1:8" x14ac:dyDescent="0.35">
      <c r="A394" s="34" t="s">
        <v>513</v>
      </c>
      <c r="B394" s="34" t="s">
        <v>224</v>
      </c>
      <c r="C394" s="34" t="s">
        <v>424</v>
      </c>
      <c r="D394" s="29">
        <v>46129.627905092595</v>
      </c>
      <c r="E394" s="34" t="s">
        <v>287</v>
      </c>
      <c r="F394" t="b">
        <v>1</v>
      </c>
      <c r="G394" s="34" t="s">
        <v>222</v>
      </c>
      <c r="H394" t="b">
        <v>0</v>
      </c>
    </row>
    <row r="395" spans="1:8" x14ac:dyDescent="0.35">
      <c r="A395" s="34" t="s">
        <v>522</v>
      </c>
      <c r="B395" s="34" t="s">
        <v>523</v>
      </c>
      <c r="C395" s="34" t="s">
        <v>524</v>
      </c>
      <c r="D395" s="29">
        <v>46129.581736111111</v>
      </c>
      <c r="E395" s="34" t="s">
        <v>287</v>
      </c>
      <c r="F395" t="b">
        <v>1</v>
      </c>
      <c r="G395" s="34" t="s">
        <v>222</v>
      </c>
      <c r="H395" t="b">
        <v>0</v>
      </c>
    </row>
    <row r="396" spans="1:8" x14ac:dyDescent="0.35">
      <c r="A396" s="34" t="s">
        <v>513</v>
      </c>
      <c r="B396" s="34" t="s">
        <v>398</v>
      </c>
      <c r="C396" s="34" t="s">
        <v>399</v>
      </c>
      <c r="D396" s="29">
        <v>46129.554942129631</v>
      </c>
      <c r="E396" s="34" t="s">
        <v>287</v>
      </c>
      <c r="F396" t="b">
        <v>1</v>
      </c>
      <c r="G396" s="34" t="s">
        <v>288</v>
      </c>
      <c r="H396" t="b">
        <v>0</v>
      </c>
    </row>
    <row r="397" spans="1:8" x14ac:dyDescent="0.35">
      <c r="A397" s="34" t="s">
        <v>513</v>
      </c>
      <c r="B397" s="34" t="s">
        <v>224</v>
      </c>
      <c r="C397" s="34" t="s">
        <v>424</v>
      </c>
      <c r="D397" s="29">
        <v>46129.533935185187</v>
      </c>
      <c r="E397" s="34" t="s">
        <v>287</v>
      </c>
      <c r="F397" t="b">
        <v>1</v>
      </c>
      <c r="G397" s="34" t="s">
        <v>226</v>
      </c>
      <c r="H397" t="b">
        <v>0</v>
      </c>
    </row>
    <row r="398" spans="1:8" x14ac:dyDescent="0.35">
      <c r="A398" s="34" t="s">
        <v>513</v>
      </c>
      <c r="B398" s="34" t="s">
        <v>398</v>
      </c>
      <c r="C398" s="34" t="s">
        <v>399</v>
      </c>
      <c r="D398" s="29">
        <v>46129.519305555557</v>
      </c>
      <c r="E398" s="34" t="s">
        <v>287</v>
      </c>
      <c r="F398" t="b">
        <v>1</v>
      </c>
      <c r="G398" s="34" t="s">
        <v>288</v>
      </c>
      <c r="H398" t="b">
        <v>0</v>
      </c>
    </row>
    <row r="399" spans="1:8" x14ac:dyDescent="0.35">
      <c r="A399" s="34" t="s">
        <v>525</v>
      </c>
      <c r="B399" s="34" t="s">
        <v>324</v>
      </c>
      <c r="C399" s="34" t="s">
        <v>325</v>
      </c>
      <c r="D399" s="29">
        <v>46129.493611111109</v>
      </c>
      <c r="E399" s="34" t="s">
        <v>287</v>
      </c>
      <c r="F399" t="b">
        <v>1</v>
      </c>
      <c r="G399" s="34" t="s">
        <v>288</v>
      </c>
      <c r="H399" t="b">
        <v>0</v>
      </c>
    </row>
    <row r="400" spans="1:8" x14ac:dyDescent="0.35">
      <c r="A400" s="34" t="s">
        <v>510</v>
      </c>
      <c r="B400" s="34" t="s">
        <v>285</v>
      </c>
      <c r="C400" s="34" t="s">
        <v>286</v>
      </c>
      <c r="D400" s="29">
        <v>46129.467175925929</v>
      </c>
      <c r="E400" s="34" t="s">
        <v>287</v>
      </c>
      <c r="F400" t="b">
        <v>1</v>
      </c>
      <c r="G400" s="34" t="s">
        <v>222</v>
      </c>
      <c r="H400" t="b">
        <v>0</v>
      </c>
    </row>
    <row r="401" spans="1:8" x14ac:dyDescent="0.35">
      <c r="A401" s="34" t="s">
        <v>526</v>
      </c>
      <c r="B401" s="34" t="s">
        <v>315</v>
      </c>
      <c r="C401" s="34" t="s">
        <v>316</v>
      </c>
      <c r="D401" s="29">
        <v>46129.458969907406</v>
      </c>
      <c r="E401" s="34" t="s">
        <v>287</v>
      </c>
      <c r="F401" t="b">
        <v>1</v>
      </c>
      <c r="G401" s="34" t="s">
        <v>226</v>
      </c>
      <c r="H401" t="b">
        <v>0</v>
      </c>
    </row>
    <row r="402" spans="1:8" x14ac:dyDescent="0.35">
      <c r="A402" s="34" t="s">
        <v>503</v>
      </c>
      <c r="B402" s="34" t="s">
        <v>285</v>
      </c>
      <c r="C402" s="34" t="s">
        <v>286</v>
      </c>
      <c r="D402" s="29">
        <v>46129.458240740743</v>
      </c>
      <c r="E402" s="34" t="s">
        <v>287</v>
      </c>
      <c r="F402" t="b">
        <v>1</v>
      </c>
      <c r="G402" s="34" t="s">
        <v>226</v>
      </c>
      <c r="H402" t="b">
        <v>0</v>
      </c>
    </row>
    <row r="403" spans="1:8" x14ac:dyDescent="0.35">
      <c r="A403" s="34" t="s">
        <v>510</v>
      </c>
      <c r="B403" s="34" t="s">
        <v>336</v>
      </c>
      <c r="C403" s="34" t="s">
        <v>337</v>
      </c>
      <c r="D403" s="29">
        <v>46129.455775462964</v>
      </c>
      <c r="E403" s="34" t="s">
        <v>287</v>
      </c>
      <c r="F403" t="b">
        <v>1</v>
      </c>
      <c r="G403" s="34" t="s">
        <v>226</v>
      </c>
      <c r="H403" t="b">
        <v>0</v>
      </c>
    </row>
    <row r="404" spans="1:8" x14ac:dyDescent="0.35">
      <c r="A404" s="34" t="s">
        <v>503</v>
      </c>
      <c r="B404" s="34" t="s">
        <v>504</v>
      </c>
      <c r="C404" s="34" t="s">
        <v>505</v>
      </c>
      <c r="D404" s="29">
        <v>46129.448692129627</v>
      </c>
      <c r="E404" s="34" t="s">
        <v>287</v>
      </c>
      <c r="F404" t="b">
        <v>1</v>
      </c>
      <c r="G404" s="34" t="s">
        <v>222</v>
      </c>
      <c r="H404" t="b">
        <v>0</v>
      </c>
    </row>
    <row r="405" spans="1:8" x14ac:dyDescent="0.35">
      <c r="A405" s="34" t="s">
        <v>513</v>
      </c>
      <c r="B405" s="34" t="s">
        <v>285</v>
      </c>
      <c r="C405" s="34" t="s">
        <v>286</v>
      </c>
      <c r="D405" s="29">
        <v>46129.437361111108</v>
      </c>
      <c r="E405" s="34" t="s">
        <v>287</v>
      </c>
      <c r="F405" t="b">
        <v>1</v>
      </c>
      <c r="G405" s="34" t="s">
        <v>412</v>
      </c>
      <c r="H405" t="b">
        <v>1</v>
      </c>
    </row>
    <row r="406" spans="1:8" x14ac:dyDescent="0.35">
      <c r="A406" s="34" t="s">
        <v>527</v>
      </c>
      <c r="B406" s="34" t="s">
        <v>297</v>
      </c>
      <c r="C406" s="34" t="s">
        <v>298</v>
      </c>
      <c r="D406" s="29">
        <v>46129.30609953704</v>
      </c>
      <c r="E406" s="34" t="s">
        <v>287</v>
      </c>
      <c r="F406" t="b">
        <v>1</v>
      </c>
      <c r="G406" s="34" t="s">
        <v>412</v>
      </c>
      <c r="H406" t="b">
        <v>0</v>
      </c>
    </row>
    <row r="407" spans="1:8" x14ac:dyDescent="0.35">
      <c r="A407" s="34" t="s">
        <v>299</v>
      </c>
      <c r="B407" s="34" t="s">
        <v>300</v>
      </c>
      <c r="C407" s="34" t="s">
        <v>301</v>
      </c>
      <c r="D407" s="29">
        <v>46129.271134259259</v>
      </c>
      <c r="E407" s="34" t="s">
        <v>287</v>
      </c>
      <c r="F407" t="b">
        <v>1</v>
      </c>
      <c r="G407" s="34" t="s">
        <v>302</v>
      </c>
      <c r="H407" t="b">
        <v>0</v>
      </c>
    </row>
    <row r="408" spans="1:8" x14ac:dyDescent="0.35">
      <c r="A408" s="34" t="s">
        <v>474</v>
      </c>
      <c r="B408" s="34" t="s">
        <v>294</v>
      </c>
      <c r="C408" s="34" t="s">
        <v>295</v>
      </c>
      <c r="D408" s="29">
        <v>46128.879490740743</v>
      </c>
      <c r="E408" s="34" t="s">
        <v>287</v>
      </c>
      <c r="F408" t="b">
        <v>1</v>
      </c>
      <c r="G408" s="34" t="s">
        <v>222</v>
      </c>
      <c r="H408" t="b">
        <v>0</v>
      </c>
    </row>
    <row r="409" spans="1:8" x14ac:dyDescent="0.35">
      <c r="A409" s="34" t="s">
        <v>528</v>
      </c>
      <c r="B409" s="34" t="s">
        <v>294</v>
      </c>
      <c r="C409" s="34" t="s">
        <v>295</v>
      </c>
      <c r="D409" s="29">
        <v>46128.794224537036</v>
      </c>
      <c r="E409" s="34" t="s">
        <v>287</v>
      </c>
      <c r="F409" t="b">
        <v>1</v>
      </c>
      <c r="G409" s="34" t="s">
        <v>357</v>
      </c>
      <c r="H409" t="b">
        <v>0</v>
      </c>
    </row>
    <row r="410" spans="1:8" x14ac:dyDescent="0.35">
      <c r="A410" s="34" t="s">
        <v>529</v>
      </c>
      <c r="B410" s="34" t="s">
        <v>294</v>
      </c>
      <c r="C410" s="34" t="s">
        <v>295</v>
      </c>
      <c r="D410" s="29">
        <v>46128.794178240743</v>
      </c>
      <c r="E410" s="34" t="s">
        <v>287</v>
      </c>
      <c r="F410" t="b">
        <v>1</v>
      </c>
      <c r="G410" s="34" t="s">
        <v>331</v>
      </c>
      <c r="H410" t="b">
        <v>0</v>
      </c>
    </row>
    <row r="411" spans="1:8" x14ac:dyDescent="0.35">
      <c r="A411" s="34" t="s">
        <v>513</v>
      </c>
      <c r="B411" s="34" t="s">
        <v>224</v>
      </c>
      <c r="C411" s="34" t="s">
        <v>424</v>
      </c>
      <c r="D411" s="29">
        <v>46128.726261574076</v>
      </c>
      <c r="E411" s="34" t="s">
        <v>287</v>
      </c>
      <c r="F411" t="b">
        <v>1</v>
      </c>
      <c r="G411" s="34" t="s">
        <v>222</v>
      </c>
      <c r="H411" t="b">
        <v>0</v>
      </c>
    </row>
    <row r="412" spans="1:8" x14ac:dyDescent="0.35">
      <c r="A412" s="34" t="s">
        <v>530</v>
      </c>
      <c r="B412" s="34" t="s">
        <v>294</v>
      </c>
      <c r="C412" s="34" t="s">
        <v>295</v>
      </c>
      <c r="D412" s="29">
        <v>46128.724027777775</v>
      </c>
      <c r="E412" s="34" t="s">
        <v>287</v>
      </c>
      <c r="F412" t="b">
        <v>1</v>
      </c>
      <c r="G412" s="34" t="s">
        <v>222</v>
      </c>
      <c r="H412" t="b">
        <v>0</v>
      </c>
    </row>
    <row r="413" spans="1:8" x14ac:dyDescent="0.35">
      <c r="A413" s="34" t="s">
        <v>513</v>
      </c>
      <c r="B413" s="34" t="s">
        <v>285</v>
      </c>
      <c r="C413" s="34" t="s">
        <v>286</v>
      </c>
      <c r="D413" s="29">
        <v>46128.711817129632</v>
      </c>
      <c r="E413" s="34" t="s">
        <v>287</v>
      </c>
      <c r="F413" t="b">
        <v>1</v>
      </c>
      <c r="G413" s="34" t="s">
        <v>222</v>
      </c>
      <c r="H413" t="b">
        <v>1</v>
      </c>
    </row>
    <row r="414" spans="1:8" x14ac:dyDescent="0.35">
      <c r="A414" s="34" t="s">
        <v>513</v>
      </c>
      <c r="B414" s="34" t="s">
        <v>398</v>
      </c>
      <c r="C414" s="34" t="s">
        <v>399</v>
      </c>
      <c r="D414" s="29">
        <v>46128.662488425929</v>
      </c>
      <c r="E414" s="34" t="s">
        <v>287</v>
      </c>
      <c r="F414" t="b">
        <v>1</v>
      </c>
      <c r="G414" s="34" t="s">
        <v>222</v>
      </c>
      <c r="H414" t="b">
        <v>0</v>
      </c>
    </row>
    <row r="415" spans="1:8" x14ac:dyDescent="0.35">
      <c r="A415" s="34" t="s">
        <v>531</v>
      </c>
      <c r="B415" s="34" t="s">
        <v>294</v>
      </c>
      <c r="C415" s="34" t="s">
        <v>295</v>
      </c>
      <c r="D415" s="29">
        <v>46128.616805555554</v>
      </c>
      <c r="E415" s="34" t="s">
        <v>287</v>
      </c>
      <c r="F415" t="b">
        <v>1</v>
      </c>
      <c r="G415" s="34" t="s">
        <v>222</v>
      </c>
      <c r="H415" t="b">
        <v>0</v>
      </c>
    </row>
    <row r="416" spans="1:8" x14ac:dyDescent="0.35">
      <c r="A416" s="34" t="s">
        <v>513</v>
      </c>
      <c r="B416" s="34" t="s">
        <v>285</v>
      </c>
      <c r="C416" s="34" t="s">
        <v>286</v>
      </c>
      <c r="D416" s="29">
        <v>46128.58084490741</v>
      </c>
      <c r="E416" s="34" t="s">
        <v>287</v>
      </c>
      <c r="F416" t="b">
        <v>1</v>
      </c>
      <c r="G416" s="34" t="s">
        <v>222</v>
      </c>
      <c r="H416" t="b">
        <v>1</v>
      </c>
    </row>
    <row r="417" spans="1:8" x14ac:dyDescent="0.35">
      <c r="A417" s="34" t="s">
        <v>532</v>
      </c>
      <c r="B417" s="34" t="s">
        <v>297</v>
      </c>
      <c r="C417" s="34" t="s">
        <v>298</v>
      </c>
      <c r="D417" s="29">
        <v>46128.465613425928</v>
      </c>
      <c r="E417" s="34" t="s">
        <v>292</v>
      </c>
      <c r="F417" t="b">
        <v>1</v>
      </c>
      <c r="G417" s="34" t="s">
        <v>222</v>
      </c>
      <c r="H417" t="b">
        <v>1</v>
      </c>
    </row>
    <row r="418" spans="1:8" x14ac:dyDescent="0.35">
      <c r="A418" s="34" t="s">
        <v>533</v>
      </c>
      <c r="B418" s="34" t="s">
        <v>419</v>
      </c>
      <c r="C418" s="34" t="s">
        <v>420</v>
      </c>
      <c r="D418" s="29">
        <v>46128.463726851849</v>
      </c>
      <c r="E418" s="34" t="s">
        <v>287</v>
      </c>
      <c r="F418" t="b">
        <v>1</v>
      </c>
      <c r="G418" s="34" t="s">
        <v>222</v>
      </c>
      <c r="H418" t="b">
        <v>0</v>
      </c>
    </row>
    <row r="419" spans="1:8" x14ac:dyDescent="0.35">
      <c r="A419" s="34" t="s">
        <v>503</v>
      </c>
      <c r="B419" s="34" t="s">
        <v>504</v>
      </c>
      <c r="C419" s="34" t="s">
        <v>505</v>
      </c>
      <c r="D419" s="29">
        <v>46128.46197916667</v>
      </c>
      <c r="E419" s="34" t="s">
        <v>287</v>
      </c>
      <c r="F419" t="b">
        <v>1</v>
      </c>
      <c r="G419" s="34" t="s">
        <v>222</v>
      </c>
      <c r="H419" t="b">
        <v>0</v>
      </c>
    </row>
    <row r="420" spans="1:8" x14ac:dyDescent="0.35">
      <c r="A420" s="34" t="s">
        <v>299</v>
      </c>
      <c r="B420" s="34" t="s">
        <v>300</v>
      </c>
      <c r="C420" s="34" t="s">
        <v>301</v>
      </c>
      <c r="D420" s="29">
        <v>46128.271249999998</v>
      </c>
      <c r="E420" s="34" t="s">
        <v>287</v>
      </c>
      <c r="F420" t="b">
        <v>1</v>
      </c>
      <c r="G420" s="34" t="s">
        <v>302</v>
      </c>
      <c r="H420" t="b">
        <v>0</v>
      </c>
    </row>
    <row r="421" spans="1:8" x14ac:dyDescent="0.35">
      <c r="A421" s="34" t="s">
        <v>534</v>
      </c>
      <c r="B421" s="34" t="s">
        <v>285</v>
      </c>
      <c r="C421" s="34" t="s">
        <v>286</v>
      </c>
      <c r="D421" s="29">
        <v>46127.926111111112</v>
      </c>
      <c r="E421" s="34" t="s">
        <v>287</v>
      </c>
      <c r="F421" t="b">
        <v>1</v>
      </c>
      <c r="G421" s="34" t="s">
        <v>222</v>
      </c>
      <c r="H421" t="b">
        <v>0</v>
      </c>
    </row>
    <row r="422" spans="1:8" x14ac:dyDescent="0.35">
      <c r="A422" s="34" t="s">
        <v>535</v>
      </c>
      <c r="B422" s="34" t="s">
        <v>536</v>
      </c>
      <c r="C422" s="34" t="s">
        <v>537</v>
      </c>
      <c r="D422" s="29">
        <v>46127.837048611109</v>
      </c>
      <c r="E422" s="34" t="s">
        <v>292</v>
      </c>
      <c r="F422" t="b">
        <v>1</v>
      </c>
      <c r="G422" s="34" t="s">
        <v>222</v>
      </c>
      <c r="H422" t="b">
        <v>1</v>
      </c>
    </row>
    <row r="423" spans="1:8" x14ac:dyDescent="0.35">
      <c r="A423" s="34" t="s">
        <v>534</v>
      </c>
      <c r="B423" s="34" t="s">
        <v>398</v>
      </c>
      <c r="C423" s="34" t="s">
        <v>399</v>
      </c>
      <c r="D423" s="29">
        <v>46127.771863425929</v>
      </c>
      <c r="E423" s="34" t="s">
        <v>287</v>
      </c>
      <c r="F423" t="b">
        <v>1</v>
      </c>
      <c r="G423" s="34" t="s">
        <v>222</v>
      </c>
      <c r="H423" t="b">
        <v>0</v>
      </c>
    </row>
    <row r="424" spans="1:8" x14ac:dyDescent="0.35">
      <c r="A424" s="34" t="s">
        <v>538</v>
      </c>
      <c r="B424" s="34" t="s">
        <v>294</v>
      </c>
      <c r="C424" s="34" t="s">
        <v>295</v>
      </c>
      <c r="D424" s="29">
        <v>46127.751203703701</v>
      </c>
      <c r="E424" s="34" t="s">
        <v>287</v>
      </c>
      <c r="F424" t="b">
        <v>1</v>
      </c>
      <c r="G424" s="34" t="s">
        <v>396</v>
      </c>
      <c r="H424" t="b">
        <v>0</v>
      </c>
    </row>
    <row r="425" spans="1:8" x14ac:dyDescent="0.35">
      <c r="A425" s="34" t="s">
        <v>503</v>
      </c>
      <c r="B425" s="34" t="s">
        <v>504</v>
      </c>
      <c r="C425" s="34" t="s">
        <v>505</v>
      </c>
      <c r="D425" s="29">
        <v>46127.678854166668</v>
      </c>
      <c r="E425" s="34" t="s">
        <v>287</v>
      </c>
      <c r="F425" t="b">
        <v>1</v>
      </c>
      <c r="G425" s="34" t="s">
        <v>222</v>
      </c>
      <c r="H425" t="b">
        <v>0</v>
      </c>
    </row>
    <row r="426" spans="1:8" x14ac:dyDescent="0.35">
      <c r="A426" s="34" t="s">
        <v>539</v>
      </c>
      <c r="B426" s="34" t="s">
        <v>294</v>
      </c>
      <c r="C426" s="34" t="s">
        <v>295</v>
      </c>
      <c r="D426" s="29">
        <v>46127.591898148145</v>
      </c>
      <c r="E426" s="34" t="s">
        <v>287</v>
      </c>
      <c r="F426" t="b">
        <v>1</v>
      </c>
      <c r="G426" s="34" t="s">
        <v>380</v>
      </c>
      <c r="H426" t="b">
        <v>0</v>
      </c>
    </row>
    <row r="427" spans="1:8" x14ac:dyDescent="0.35">
      <c r="A427" s="34" t="s">
        <v>408</v>
      </c>
      <c r="B427" s="34" t="s">
        <v>324</v>
      </c>
      <c r="C427" s="34" t="s">
        <v>325</v>
      </c>
      <c r="D427" s="29">
        <v>46127.503032407411</v>
      </c>
      <c r="E427" s="34" t="s">
        <v>287</v>
      </c>
      <c r="F427" t="b">
        <v>1</v>
      </c>
      <c r="G427" s="34" t="s">
        <v>288</v>
      </c>
      <c r="H427" t="b">
        <v>0</v>
      </c>
    </row>
    <row r="428" spans="1:8" x14ac:dyDescent="0.35">
      <c r="A428" s="34" t="s">
        <v>534</v>
      </c>
      <c r="B428" s="34" t="s">
        <v>398</v>
      </c>
      <c r="C428" s="34" t="s">
        <v>399</v>
      </c>
      <c r="D428" s="29">
        <v>46127.500231481485</v>
      </c>
      <c r="E428" s="34" t="s">
        <v>287</v>
      </c>
      <c r="F428" t="b">
        <v>1</v>
      </c>
      <c r="G428" s="34" t="s">
        <v>288</v>
      </c>
      <c r="H428" t="b">
        <v>0</v>
      </c>
    </row>
    <row r="429" spans="1:8" x14ac:dyDescent="0.35">
      <c r="A429" s="34" t="s">
        <v>503</v>
      </c>
      <c r="B429" s="34" t="s">
        <v>285</v>
      </c>
      <c r="C429" s="34" t="s">
        <v>286</v>
      </c>
      <c r="D429" s="29">
        <v>46127.499814814815</v>
      </c>
      <c r="E429" s="34" t="s">
        <v>287</v>
      </c>
      <c r="F429" t="b">
        <v>1</v>
      </c>
      <c r="G429" s="34" t="s">
        <v>222</v>
      </c>
      <c r="H429" t="b">
        <v>0</v>
      </c>
    </row>
    <row r="430" spans="1:8" x14ac:dyDescent="0.35">
      <c r="A430" s="34" t="s">
        <v>503</v>
      </c>
      <c r="B430" s="34" t="s">
        <v>504</v>
      </c>
      <c r="C430" s="34" t="s">
        <v>505</v>
      </c>
      <c r="D430" s="29">
        <v>46127.475011574075</v>
      </c>
      <c r="E430" s="34" t="s">
        <v>287</v>
      </c>
      <c r="F430" t="b">
        <v>1</v>
      </c>
      <c r="G430" s="34" t="s">
        <v>222</v>
      </c>
      <c r="H430" t="b">
        <v>0</v>
      </c>
    </row>
    <row r="431" spans="1:8" x14ac:dyDescent="0.35">
      <c r="A431" s="34" t="s">
        <v>540</v>
      </c>
      <c r="B431" s="34" t="s">
        <v>294</v>
      </c>
      <c r="C431" s="34" t="s">
        <v>295</v>
      </c>
      <c r="D431" s="29">
        <v>46127.412835648145</v>
      </c>
      <c r="E431" s="34" t="s">
        <v>287</v>
      </c>
      <c r="F431" t="b">
        <v>1</v>
      </c>
      <c r="G431" s="34" t="s">
        <v>380</v>
      </c>
      <c r="H431" t="b">
        <v>0</v>
      </c>
    </row>
    <row r="432" spans="1:8" x14ac:dyDescent="0.35">
      <c r="A432" s="34" t="s">
        <v>299</v>
      </c>
      <c r="B432" s="34" t="s">
        <v>300</v>
      </c>
      <c r="C432" s="34" t="s">
        <v>301</v>
      </c>
      <c r="D432" s="29">
        <v>46127.271249999998</v>
      </c>
      <c r="E432" s="34" t="s">
        <v>287</v>
      </c>
      <c r="F432" t="b">
        <v>1</v>
      </c>
      <c r="G432" s="34" t="s">
        <v>302</v>
      </c>
      <c r="H432" t="b">
        <v>0</v>
      </c>
    </row>
    <row r="433" spans="1:8" x14ac:dyDescent="0.35">
      <c r="A433" s="34" t="s">
        <v>541</v>
      </c>
      <c r="B433" s="34" t="s">
        <v>409</v>
      </c>
      <c r="C433" s="34" t="s">
        <v>410</v>
      </c>
      <c r="D433" s="29">
        <v>46126.898819444446</v>
      </c>
      <c r="E433" s="34" t="s">
        <v>287</v>
      </c>
      <c r="F433" t="b">
        <v>1</v>
      </c>
      <c r="G433" s="34" t="s">
        <v>226</v>
      </c>
      <c r="H433" t="b">
        <v>0</v>
      </c>
    </row>
    <row r="434" spans="1:8" x14ac:dyDescent="0.35">
      <c r="A434" s="34" t="s">
        <v>542</v>
      </c>
      <c r="B434" s="34" t="s">
        <v>319</v>
      </c>
      <c r="C434" s="34" t="s">
        <v>320</v>
      </c>
      <c r="D434" s="29">
        <v>46126.872673611113</v>
      </c>
      <c r="E434" s="34" t="s">
        <v>287</v>
      </c>
      <c r="F434" t="b">
        <v>1</v>
      </c>
      <c r="G434" s="34" t="s">
        <v>222</v>
      </c>
      <c r="H434" t="b">
        <v>1</v>
      </c>
    </row>
    <row r="435" spans="1:8" x14ac:dyDescent="0.35">
      <c r="A435" s="34" t="s">
        <v>542</v>
      </c>
      <c r="B435" s="34" t="s">
        <v>319</v>
      </c>
      <c r="C435" s="34" t="s">
        <v>320</v>
      </c>
      <c r="D435" s="29">
        <v>46126.863344907404</v>
      </c>
      <c r="E435" s="34" t="s">
        <v>287</v>
      </c>
      <c r="F435" t="b">
        <v>1</v>
      </c>
      <c r="G435" s="34" t="s">
        <v>222</v>
      </c>
      <c r="H435" t="b">
        <v>0</v>
      </c>
    </row>
    <row r="436" spans="1:8" x14ac:dyDescent="0.35">
      <c r="A436" s="34" t="s">
        <v>543</v>
      </c>
      <c r="B436" s="34" t="s">
        <v>294</v>
      </c>
      <c r="C436" s="34" t="s">
        <v>295</v>
      </c>
      <c r="D436" s="29">
        <v>46126.859652777777</v>
      </c>
      <c r="E436" s="34" t="s">
        <v>287</v>
      </c>
      <c r="F436" t="b">
        <v>1</v>
      </c>
      <c r="G436" s="34" t="s">
        <v>288</v>
      </c>
      <c r="H436" t="b">
        <v>0</v>
      </c>
    </row>
    <row r="437" spans="1:8" x14ac:dyDescent="0.35">
      <c r="A437" s="34" t="s">
        <v>544</v>
      </c>
      <c r="B437" s="34" t="s">
        <v>294</v>
      </c>
      <c r="C437" s="34" t="s">
        <v>295</v>
      </c>
      <c r="D437" s="29">
        <v>46126.70107638889</v>
      </c>
      <c r="E437" s="34" t="s">
        <v>287</v>
      </c>
      <c r="F437" t="b">
        <v>1</v>
      </c>
      <c r="G437" s="34" t="s">
        <v>357</v>
      </c>
      <c r="H437" t="b">
        <v>0</v>
      </c>
    </row>
    <row r="438" spans="1:8" x14ac:dyDescent="0.35">
      <c r="A438" s="34" t="s">
        <v>503</v>
      </c>
      <c r="B438" s="34" t="s">
        <v>285</v>
      </c>
      <c r="C438" s="34" t="s">
        <v>286</v>
      </c>
      <c r="D438" s="29">
        <v>46126.661469907405</v>
      </c>
      <c r="E438" s="34" t="s">
        <v>287</v>
      </c>
      <c r="F438" t="b">
        <v>1</v>
      </c>
      <c r="G438" s="34" t="s">
        <v>222</v>
      </c>
      <c r="H438" t="b">
        <v>0</v>
      </c>
    </row>
    <row r="439" spans="1:8" x14ac:dyDescent="0.35">
      <c r="A439" s="34" t="s">
        <v>545</v>
      </c>
      <c r="B439" s="34" t="s">
        <v>546</v>
      </c>
      <c r="C439" s="34" t="s">
        <v>435</v>
      </c>
      <c r="D439" s="29">
        <v>46126.619826388887</v>
      </c>
      <c r="E439" s="34" t="s">
        <v>287</v>
      </c>
      <c r="F439" t="b">
        <v>1</v>
      </c>
      <c r="G439" s="34" t="s">
        <v>222</v>
      </c>
      <c r="H439" t="b">
        <v>0</v>
      </c>
    </row>
    <row r="440" spans="1:8" x14ac:dyDescent="0.35">
      <c r="A440" s="34" t="s">
        <v>503</v>
      </c>
      <c r="B440" s="34" t="s">
        <v>504</v>
      </c>
      <c r="C440" s="34" t="s">
        <v>505</v>
      </c>
      <c r="D440" s="29">
        <v>46126.616377314815</v>
      </c>
      <c r="E440" s="34" t="s">
        <v>287</v>
      </c>
      <c r="F440" t="b">
        <v>1</v>
      </c>
      <c r="G440" s="34" t="s">
        <v>222</v>
      </c>
      <c r="H440" t="b">
        <v>0</v>
      </c>
    </row>
    <row r="441" spans="1:8" x14ac:dyDescent="0.35">
      <c r="A441" s="34" t="s">
        <v>547</v>
      </c>
      <c r="B441" s="34" t="s">
        <v>504</v>
      </c>
      <c r="C441" s="34" t="s">
        <v>505</v>
      </c>
      <c r="D441" s="29">
        <v>46126.615960648145</v>
      </c>
      <c r="E441" s="34" t="s">
        <v>287</v>
      </c>
      <c r="F441" t="b">
        <v>1</v>
      </c>
      <c r="G441" s="34" t="s">
        <v>222</v>
      </c>
      <c r="H441" t="b">
        <v>0</v>
      </c>
    </row>
    <row r="442" spans="1:8" x14ac:dyDescent="0.35">
      <c r="A442" s="34" t="s">
        <v>503</v>
      </c>
      <c r="B442" s="34" t="s">
        <v>504</v>
      </c>
      <c r="C442" s="34" t="s">
        <v>505</v>
      </c>
      <c r="D442" s="29">
        <v>46126.615752314814</v>
      </c>
      <c r="E442" s="34" t="s">
        <v>287</v>
      </c>
      <c r="F442" t="b">
        <v>1</v>
      </c>
      <c r="G442" s="34" t="s">
        <v>222</v>
      </c>
      <c r="H442" t="b">
        <v>0</v>
      </c>
    </row>
    <row r="443" spans="1:8" x14ac:dyDescent="0.35">
      <c r="A443" s="34" t="s">
        <v>545</v>
      </c>
      <c r="B443" s="34" t="s">
        <v>546</v>
      </c>
      <c r="C443" s="34" t="s">
        <v>435</v>
      </c>
      <c r="D443" s="29">
        <v>46126.602210648147</v>
      </c>
      <c r="E443" s="34" t="s">
        <v>287</v>
      </c>
      <c r="F443" t="b">
        <v>1</v>
      </c>
      <c r="G443" s="34" t="s">
        <v>222</v>
      </c>
      <c r="H443" t="b">
        <v>0</v>
      </c>
    </row>
    <row r="444" spans="1:8" x14ac:dyDescent="0.35">
      <c r="A444" s="34" t="s">
        <v>503</v>
      </c>
      <c r="B444" s="34" t="s">
        <v>504</v>
      </c>
      <c r="C444" s="34" t="s">
        <v>505</v>
      </c>
      <c r="D444" s="29">
        <v>46126.597175925926</v>
      </c>
      <c r="E444" s="34" t="s">
        <v>287</v>
      </c>
      <c r="F444" t="b">
        <v>1</v>
      </c>
      <c r="G444" s="34" t="s">
        <v>222</v>
      </c>
      <c r="H444" t="b">
        <v>0</v>
      </c>
    </row>
    <row r="445" spans="1:8" x14ac:dyDescent="0.35">
      <c r="A445" s="34" t="s">
        <v>548</v>
      </c>
      <c r="B445" s="34" t="s">
        <v>294</v>
      </c>
      <c r="C445" s="34" t="s">
        <v>295</v>
      </c>
      <c r="D445" s="29">
        <v>46126.593784722223</v>
      </c>
      <c r="E445" s="34" t="s">
        <v>287</v>
      </c>
      <c r="F445" t="b">
        <v>1</v>
      </c>
      <c r="G445" s="34" t="s">
        <v>406</v>
      </c>
      <c r="H445" t="b">
        <v>0</v>
      </c>
    </row>
    <row r="446" spans="1:8" x14ac:dyDescent="0.35">
      <c r="A446" s="34" t="s">
        <v>407</v>
      </c>
      <c r="B446" s="34" t="s">
        <v>225</v>
      </c>
      <c r="C446" s="34" t="s">
        <v>353</v>
      </c>
      <c r="D446" s="29">
        <v>46126.511574074073</v>
      </c>
      <c r="E446" s="34" t="s">
        <v>287</v>
      </c>
      <c r="F446" t="b">
        <v>1</v>
      </c>
      <c r="G446" s="34" t="s">
        <v>226</v>
      </c>
      <c r="H446" t="b">
        <v>0</v>
      </c>
    </row>
    <row r="447" spans="1:8" x14ac:dyDescent="0.35">
      <c r="A447" s="34" t="s">
        <v>545</v>
      </c>
      <c r="B447" s="34" t="s">
        <v>546</v>
      </c>
      <c r="C447" s="34" t="s">
        <v>435</v>
      </c>
      <c r="D447" s="29">
        <v>46126.506261574075</v>
      </c>
      <c r="E447" s="34" t="s">
        <v>287</v>
      </c>
      <c r="F447" t="b">
        <v>1</v>
      </c>
      <c r="G447" s="34" t="s">
        <v>222</v>
      </c>
      <c r="H447" t="b">
        <v>1</v>
      </c>
    </row>
    <row r="448" spans="1:8" x14ac:dyDescent="0.35">
      <c r="A448" s="34" t="s">
        <v>407</v>
      </c>
      <c r="B448" s="34" t="s">
        <v>285</v>
      </c>
      <c r="C448" s="34" t="s">
        <v>286</v>
      </c>
      <c r="D448" s="29">
        <v>46126.504166666666</v>
      </c>
      <c r="E448" s="34" t="s">
        <v>287</v>
      </c>
      <c r="F448" t="b">
        <v>1</v>
      </c>
      <c r="G448" s="34" t="s">
        <v>288</v>
      </c>
      <c r="H448" t="b">
        <v>0</v>
      </c>
    </row>
    <row r="449" spans="1:8" x14ac:dyDescent="0.35">
      <c r="A449" s="34" t="s">
        <v>503</v>
      </c>
      <c r="B449" s="34" t="s">
        <v>504</v>
      </c>
      <c r="C449" s="34" t="s">
        <v>505</v>
      </c>
      <c r="D449" s="29">
        <v>46126.501631944448</v>
      </c>
      <c r="E449" s="34" t="s">
        <v>287</v>
      </c>
      <c r="F449" t="b">
        <v>1</v>
      </c>
      <c r="G449" s="34" t="s">
        <v>222</v>
      </c>
      <c r="H449" t="b">
        <v>0</v>
      </c>
    </row>
    <row r="450" spans="1:8" x14ac:dyDescent="0.35">
      <c r="A450" s="34" t="s">
        <v>549</v>
      </c>
      <c r="B450" s="34" t="s">
        <v>294</v>
      </c>
      <c r="C450" s="34" t="s">
        <v>295</v>
      </c>
      <c r="D450" s="29">
        <v>46126.470891203702</v>
      </c>
      <c r="E450" s="34" t="s">
        <v>287</v>
      </c>
      <c r="F450" t="b">
        <v>1</v>
      </c>
      <c r="G450" s="34" t="s">
        <v>550</v>
      </c>
      <c r="H450" t="b">
        <v>0</v>
      </c>
    </row>
    <row r="451" spans="1:8" x14ac:dyDescent="0.35">
      <c r="A451" s="34" t="s">
        <v>551</v>
      </c>
      <c r="B451" s="34" t="s">
        <v>297</v>
      </c>
      <c r="C451" s="34" t="s">
        <v>298</v>
      </c>
      <c r="D451" s="29">
        <v>46126.289780092593</v>
      </c>
      <c r="E451" s="34" t="s">
        <v>287</v>
      </c>
      <c r="F451" t="b">
        <v>1</v>
      </c>
      <c r="G451" s="34" t="s">
        <v>511</v>
      </c>
      <c r="H451" t="b">
        <v>0</v>
      </c>
    </row>
    <row r="452" spans="1:8" x14ac:dyDescent="0.35">
      <c r="A452" s="34" t="s">
        <v>299</v>
      </c>
      <c r="B452" s="34" t="s">
        <v>300</v>
      </c>
      <c r="C452" s="34" t="s">
        <v>301</v>
      </c>
      <c r="D452" s="29">
        <v>46126.271469907406</v>
      </c>
      <c r="E452" s="34" t="s">
        <v>287</v>
      </c>
      <c r="F452" t="b">
        <v>1</v>
      </c>
      <c r="G452" s="34" t="s">
        <v>222</v>
      </c>
      <c r="H452" t="b">
        <v>0</v>
      </c>
    </row>
    <row r="453" spans="1:8" x14ac:dyDescent="0.35">
      <c r="A453" s="34" t="s">
        <v>552</v>
      </c>
      <c r="B453" s="34" t="s">
        <v>294</v>
      </c>
      <c r="C453" s="34" t="s">
        <v>295</v>
      </c>
      <c r="D453" s="29">
        <v>46125.70453703704</v>
      </c>
      <c r="E453" s="34" t="s">
        <v>287</v>
      </c>
      <c r="F453" t="b">
        <v>1</v>
      </c>
      <c r="G453" s="34" t="s">
        <v>553</v>
      </c>
      <c r="H453" t="b">
        <v>0</v>
      </c>
    </row>
    <row r="454" spans="1:8" x14ac:dyDescent="0.35">
      <c r="A454" s="34" t="s">
        <v>442</v>
      </c>
      <c r="B454" s="34" t="s">
        <v>285</v>
      </c>
      <c r="C454" s="34" t="s">
        <v>286</v>
      </c>
      <c r="D454" s="29">
        <v>46125.685266203705</v>
      </c>
      <c r="E454" s="34" t="s">
        <v>287</v>
      </c>
      <c r="F454" t="b">
        <v>1</v>
      </c>
      <c r="G454" s="34" t="s">
        <v>73</v>
      </c>
      <c r="H454" t="b">
        <v>0</v>
      </c>
    </row>
    <row r="455" spans="1:8" x14ac:dyDescent="0.35">
      <c r="A455" s="34" t="s">
        <v>554</v>
      </c>
      <c r="B455" s="34" t="s">
        <v>294</v>
      </c>
      <c r="C455" s="34" t="s">
        <v>295</v>
      </c>
      <c r="D455" s="29">
        <v>46125.645937499998</v>
      </c>
      <c r="E455" s="34" t="s">
        <v>287</v>
      </c>
      <c r="F455" t="b">
        <v>1</v>
      </c>
      <c r="G455" s="34" t="s">
        <v>357</v>
      </c>
      <c r="H455" t="b">
        <v>0</v>
      </c>
    </row>
    <row r="456" spans="1:8" x14ac:dyDescent="0.35">
      <c r="A456" s="34" t="s">
        <v>555</v>
      </c>
      <c r="B456" s="34" t="s">
        <v>546</v>
      </c>
      <c r="C456" s="34" t="s">
        <v>435</v>
      </c>
      <c r="D456" s="29">
        <v>46125.606666666667</v>
      </c>
      <c r="E456" s="34" t="s">
        <v>287</v>
      </c>
      <c r="F456" t="b">
        <v>1</v>
      </c>
      <c r="G456" s="34" t="s">
        <v>288</v>
      </c>
      <c r="H456" t="b">
        <v>1</v>
      </c>
    </row>
    <row r="457" spans="1:8" x14ac:dyDescent="0.35">
      <c r="A457" s="34" t="s">
        <v>556</v>
      </c>
      <c r="B457" s="34" t="s">
        <v>294</v>
      </c>
      <c r="C457" s="34" t="s">
        <v>295</v>
      </c>
      <c r="D457" s="29">
        <v>46125.584305555552</v>
      </c>
      <c r="E457" s="34" t="s">
        <v>287</v>
      </c>
      <c r="F457" t="b">
        <v>1</v>
      </c>
      <c r="G457" s="34" t="s">
        <v>296</v>
      </c>
      <c r="H457" t="b">
        <v>0</v>
      </c>
    </row>
    <row r="458" spans="1:8" x14ac:dyDescent="0.35">
      <c r="A458" s="34" t="s">
        <v>557</v>
      </c>
      <c r="B458" s="34" t="s">
        <v>297</v>
      </c>
      <c r="C458" s="34" t="s">
        <v>298</v>
      </c>
      <c r="D458" s="29">
        <v>46125.510150462964</v>
      </c>
      <c r="E458" s="34" t="s">
        <v>287</v>
      </c>
      <c r="F458" t="b">
        <v>1</v>
      </c>
      <c r="G458" s="34" t="s">
        <v>290</v>
      </c>
      <c r="H458" t="b">
        <v>1</v>
      </c>
    </row>
    <row r="459" spans="1:8" x14ac:dyDescent="0.35">
      <c r="A459" s="34" t="s">
        <v>503</v>
      </c>
      <c r="B459" s="34" t="s">
        <v>285</v>
      </c>
      <c r="C459" s="34" t="s">
        <v>286</v>
      </c>
      <c r="D459" s="29">
        <v>46125.448680555557</v>
      </c>
      <c r="E459" s="34" t="s">
        <v>287</v>
      </c>
      <c r="F459" t="b">
        <v>1</v>
      </c>
      <c r="G459" s="34" t="s">
        <v>226</v>
      </c>
      <c r="H459" t="b">
        <v>0</v>
      </c>
    </row>
    <row r="460" spans="1:8" x14ac:dyDescent="0.35">
      <c r="A460" s="34" t="s">
        <v>503</v>
      </c>
      <c r="B460" s="34" t="s">
        <v>504</v>
      </c>
      <c r="C460" s="34" t="s">
        <v>505</v>
      </c>
      <c r="D460" s="29">
        <v>46125.443171296298</v>
      </c>
      <c r="E460" s="34" t="s">
        <v>287</v>
      </c>
      <c r="F460" t="b">
        <v>1</v>
      </c>
      <c r="G460" s="34" t="s">
        <v>288</v>
      </c>
      <c r="H460" t="b">
        <v>0</v>
      </c>
    </row>
    <row r="461" spans="1:8" x14ac:dyDescent="0.35">
      <c r="A461" s="34" t="s">
        <v>299</v>
      </c>
      <c r="B461" s="34" t="s">
        <v>300</v>
      </c>
      <c r="C461" s="34" t="s">
        <v>301</v>
      </c>
      <c r="D461" s="29">
        <v>46125.270983796298</v>
      </c>
      <c r="E461" s="34" t="s">
        <v>287</v>
      </c>
      <c r="F461" t="b">
        <v>1</v>
      </c>
      <c r="G461" s="34" t="s">
        <v>302</v>
      </c>
      <c r="H461" t="b">
        <v>0</v>
      </c>
    </row>
    <row r="462" spans="1:8" x14ac:dyDescent="0.35">
      <c r="A462" s="34" t="s">
        <v>299</v>
      </c>
      <c r="B462" s="34" t="s">
        <v>300</v>
      </c>
      <c r="C462" s="34" t="s">
        <v>301</v>
      </c>
      <c r="D462" s="29">
        <v>46124.270972222221</v>
      </c>
      <c r="E462" s="34" t="s">
        <v>287</v>
      </c>
      <c r="F462" t="b">
        <v>1</v>
      </c>
      <c r="G462" s="34" t="s">
        <v>302</v>
      </c>
      <c r="H462" t="b">
        <v>0</v>
      </c>
    </row>
    <row r="463" spans="1:8" x14ac:dyDescent="0.35">
      <c r="A463" s="34" t="s">
        <v>299</v>
      </c>
      <c r="B463" s="34" t="s">
        <v>300</v>
      </c>
      <c r="C463" s="34" t="s">
        <v>301</v>
      </c>
      <c r="D463" s="29">
        <v>46123.271145833336</v>
      </c>
      <c r="E463" s="34" t="s">
        <v>287</v>
      </c>
      <c r="F463" t="b">
        <v>1</v>
      </c>
      <c r="G463" s="34" t="s">
        <v>302</v>
      </c>
      <c r="H463" t="b">
        <v>0</v>
      </c>
    </row>
    <row r="464" spans="1:8" x14ac:dyDescent="0.35">
      <c r="A464" s="34" t="s">
        <v>558</v>
      </c>
      <c r="B464" s="34" t="s">
        <v>409</v>
      </c>
      <c r="C464" s="34" t="s">
        <v>410</v>
      </c>
      <c r="D464" s="29">
        <v>46123.068518518521</v>
      </c>
      <c r="E464" s="34" t="s">
        <v>287</v>
      </c>
      <c r="F464" t="b">
        <v>1</v>
      </c>
      <c r="G464" s="34" t="s">
        <v>288</v>
      </c>
      <c r="H464" t="b">
        <v>0</v>
      </c>
    </row>
    <row r="465" spans="1:8" x14ac:dyDescent="0.35">
      <c r="A465" s="34" t="s">
        <v>503</v>
      </c>
      <c r="B465" s="34" t="s">
        <v>285</v>
      </c>
      <c r="C465" s="34" t="s">
        <v>286</v>
      </c>
      <c r="D465" s="29">
        <v>46122.833113425928</v>
      </c>
      <c r="E465" s="34" t="s">
        <v>287</v>
      </c>
      <c r="F465" t="b">
        <v>1</v>
      </c>
      <c r="G465" s="34" t="s">
        <v>226</v>
      </c>
      <c r="H465" t="b">
        <v>0</v>
      </c>
    </row>
    <row r="466" spans="1:8" x14ac:dyDescent="0.35">
      <c r="A466" s="34" t="s">
        <v>559</v>
      </c>
      <c r="B466" s="34" t="s">
        <v>294</v>
      </c>
      <c r="C466" s="34" t="s">
        <v>295</v>
      </c>
      <c r="D466" s="29">
        <v>46122.790509259263</v>
      </c>
      <c r="E466" s="34" t="s">
        <v>287</v>
      </c>
      <c r="F466" t="b">
        <v>1</v>
      </c>
      <c r="G466" s="34" t="s">
        <v>223</v>
      </c>
      <c r="H466" t="b">
        <v>0</v>
      </c>
    </row>
    <row r="467" spans="1:8" x14ac:dyDescent="0.35">
      <c r="A467" s="34" t="s">
        <v>503</v>
      </c>
      <c r="B467" s="34" t="s">
        <v>285</v>
      </c>
      <c r="C467" s="34" t="s">
        <v>286</v>
      </c>
      <c r="D467" s="29">
        <v>46122.722592592596</v>
      </c>
      <c r="E467" s="34" t="s">
        <v>287</v>
      </c>
      <c r="F467" t="b">
        <v>1</v>
      </c>
      <c r="G467" s="34" t="s">
        <v>222</v>
      </c>
      <c r="H467" t="b">
        <v>0</v>
      </c>
    </row>
    <row r="468" spans="1:8" x14ac:dyDescent="0.35">
      <c r="A468" s="34" t="s">
        <v>503</v>
      </c>
      <c r="B468" s="34" t="s">
        <v>504</v>
      </c>
      <c r="C468" s="34" t="s">
        <v>505</v>
      </c>
      <c r="D468" s="29">
        <v>46122.689039351855</v>
      </c>
      <c r="E468" s="34" t="s">
        <v>287</v>
      </c>
      <c r="F468" t="b">
        <v>1</v>
      </c>
      <c r="G468" s="34" t="s">
        <v>222</v>
      </c>
      <c r="H468" t="b">
        <v>0</v>
      </c>
    </row>
    <row r="469" spans="1:8" x14ac:dyDescent="0.35">
      <c r="A469" s="34" t="s">
        <v>476</v>
      </c>
      <c r="B469" s="34" t="s">
        <v>328</v>
      </c>
      <c r="C469" s="34" t="s">
        <v>329</v>
      </c>
      <c r="D469" s="29">
        <v>46122.667500000003</v>
      </c>
      <c r="E469" s="34" t="s">
        <v>287</v>
      </c>
      <c r="F469" t="b">
        <v>1</v>
      </c>
      <c r="G469" s="34" t="s">
        <v>288</v>
      </c>
      <c r="H469" t="b">
        <v>0</v>
      </c>
    </row>
    <row r="470" spans="1:8" x14ac:dyDescent="0.35">
      <c r="A470" s="34" t="s">
        <v>560</v>
      </c>
      <c r="B470" s="34" t="s">
        <v>294</v>
      </c>
      <c r="C470" s="34" t="s">
        <v>295</v>
      </c>
      <c r="D470" s="29">
        <v>46122.658773148149</v>
      </c>
      <c r="E470" s="34" t="s">
        <v>287</v>
      </c>
      <c r="F470" t="b">
        <v>1</v>
      </c>
      <c r="G470" s="34" t="s">
        <v>518</v>
      </c>
      <c r="H470" t="b">
        <v>0</v>
      </c>
    </row>
    <row r="471" spans="1:8" x14ac:dyDescent="0.35">
      <c r="A471" s="34" t="s">
        <v>421</v>
      </c>
      <c r="B471" s="34" t="s">
        <v>225</v>
      </c>
      <c r="C471" s="34" t="s">
        <v>353</v>
      </c>
      <c r="D471" s="29">
        <v>46122.617303240739</v>
      </c>
      <c r="E471" s="34" t="s">
        <v>287</v>
      </c>
      <c r="F471" t="b">
        <v>1</v>
      </c>
      <c r="G471" s="34" t="s">
        <v>518</v>
      </c>
      <c r="H471" t="b">
        <v>0</v>
      </c>
    </row>
    <row r="472" spans="1:8" x14ac:dyDescent="0.35">
      <c r="A472" s="34" t="s">
        <v>561</v>
      </c>
      <c r="B472" s="34" t="s">
        <v>294</v>
      </c>
      <c r="C472" s="34" t="s">
        <v>295</v>
      </c>
      <c r="D472" s="29">
        <v>46122.476180555554</v>
      </c>
      <c r="E472" s="34" t="s">
        <v>287</v>
      </c>
      <c r="F472" t="b">
        <v>1</v>
      </c>
      <c r="G472" s="34" t="s">
        <v>357</v>
      </c>
      <c r="H472" t="b">
        <v>0</v>
      </c>
    </row>
    <row r="473" spans="1:8" x14ac:dyDescent="0.35">
      <c r="A473" s="34" t="s">
        <v>299</v>
      </c>
      <c r="B473" s="34" t="s">
        <v>300</v>
      </c>
      <c r="C473" s="34" t="s">
        <v>301</v>
      </c>
      <c r="D473" s="29">
        <v>46122.271215277775</v>
      </c>
      <c r="E473" s="34" t="s">
        <v>287</v>
      </c>
      <c r="F473" t="b">
        <v>1</v>
      </c>
      <c r="G473" s="34" t="s">
        <v>302</v>
      </c>
      <c r="H473" t="b">
        <v>0</v>
      </c>
    </row>
    <row r="474" spans="1:8" x14ac:dyDescent="0.35">
      <c r="A474" s="34" t="s">
        <v>562</v>
      </c>
      <c r="B474" s="34" t="s">
        <v>294</v>
      </c>
      <c r="C474" s="34" t="s">
        <v>295</v>
      </c>
      <c r="D474" s="29">
        <v>46121.92465277778</v>
      </c>
      <c r="E474" s="34" t="s">
        <v>287</v>
      </c>
      <c r="F474" t="b">
        <v>1</v>
      </c>
      <c r="G474" s="34" t="s">
        <v>357</v>
      </c>
      <c r="H474" t="b">
        <v>0</v>
      </c>
    </row>
    <row r="475" spans="1:8" x14ac:dyDescent="0.35">
      <c r="A475" s="34" t="s">
        <v>562</v>
      </c>
      <c r="B475" s="34" t="s">
        <v>294</v>
      </c>
      <c r="C475" s="34" t="s">
        <v>295</v>
      </c>
      <c r="D475" s="29">
        <v>46121.849270833336</v>
      </c>
      <c r="E475" s="34" t="s">
        <v>287</v>
      </c>
      <c r="F475" t="b">
        <v>1</v>
      </c>
      <c r="G475" s="34" t="s">
        <v>357</v>
      </c>
      <c r="H475" t="b">
        <v>0</v>
      </c>
    </row>
    <row r="476" spans="1:8" x14ac:dyDescent="0.35">
      <c r="A476" s="34" t="s">
        <v>476</v>
      </c>
      <c r="B476" s="34" t="s">
        <v>328</v>
      </c>
      <c r="C476" s="34" t="s">
        <v>329</v>
      </c>
      <c r="D476" s="29">
        <v>46121.712199074071</v>
      </c>
      <c r="E476" s="34" t="s">
        <v>287</v>
      </c>
      <c r="F476" t="b">
        <v>1</v>
      </c>
      <c r="G476" s="34" t="s">
        <v>288</v>
      </c>
      <c r="H476" t="b">
        <v>0</v>
      </c>
    </row>
    <row r="477" spans="1:8" x14ac:dyDescent="0.35">
      <c r="A477" s="34" t="s">
        <v>441</v>
      </c>
      <c r="B477" s="34" t="s">
        <v>285</v>
      </c>
      <c r="C477" s="34" t="s">
        <v>286</v>
      </c>
      <c r="D477" s="29">
        <v>46121.692291666666</v>
      </c>
      <c r="E477" s="34" t="s">
        <v>287</v>
      </c>
      <c r="F477" t="b">
        <v>1</v>
      </c>
      <c r="G477" s="34" t="s">
        <v>226</v>
      </c>
      <c r="H477" t="b">
        <v>0</v>
      </c>
    </row>
    <row r="478" spans="1:8" x14ac:dyDescent="0.35">
      <c r="A478" s="34" t="s">
        <v>407</v>
      </c>
      <c r="B478" s="34" t="s">
        <v>285</v>
      </c>
      <c r="C478" s="34" t="s">
        <v>286</v>
      </c>
      <c r="D478" s="29">
        <v>46121.685856481483</v>
      </c>
      <c r="E478" s="34" t="s">
        <v>287</v>
      </c>
      <c r="F478" t="b">
        <v>1</v>
      </c>
      <c r="G478" s="34" t="s">
        <v>288</v>
      </c>
      <c r="H478" t="b">
        <v>0</v>
      </c>
    </row>
    <row r="479" spans="1:8" x14ac:dyDescent="0.35">
      <c r="A479" s="34" t="s">
        <v>563</v>
      </c>
      <c r="B479" s="34" t="s">
        <v>315</v>
      </c>
      <c r="C479" s="34" t="s">
        <v>316</v>
      </c>
      <c r="D479" s="29">
        <v>46121.684039351851</v>
      </c>
      <c r="E479" s="34" t="s">
        <v>287</v>
      </c>
      <c r="F479" t="b">
        <v>1</v>
      </c>
      <c r="G479" s="34" t="s">
        <v>226</v>
      </c>
      <c r="H479" t="b">
        <v>0</v>
      </c>
    </row>
    <row r="480" spans="1:8" x14ac:dyDescent="0.35">
      <c r="A480" s="34" t="s">
        <v>408</v>
      </c>
      <c r="B480" s="34" t="s">
        <v>324</v>
      </c>
      <c r="C480" s="34" t="s">
        <v>325</v>
      </c>
      <c r="D480" s="29">
        <v>46121.601284722223</v>
      </c>
      <c r="E480" s="34" t="s">
        <v>287</v>
      </c>
      <c r="F480" t="b">
        <v>1</v>
      </c>
      <c r="G480" s="34" t="s">
        <v>222</v>
      </c>
      <c r="H480" t="b">
        <v>0</v>
      </c>
    </row>
    <row r="481" spans="1:8" x14ac:dyDescent="0.35">
      <c r="A481" s="34" t="s">
        <v>564</v>
      </c>
      <c r="B481" s="34" t="s">
        <v>294</v>
      </c>
      <c r="C481" s="34" t="s">
        <v>295</v>
      </c>
      <c r="D481" s="29">
        <v>46121.560277777775</v>
      </c>
      <c r="E481" s="34" t="s">
        <v>287</v>
      </c>
      <c r="F481" t="b">
        <v>1</v>
      </c>
      <c r="G481" s="34" t="s">
        <v>357</v>
      </c>
      <c r="H481" t="b">
        <v>0</v>
      </c>
    </row>
    <row r="482" spans="1:8" x14ac:dyDescent="0.35">
      <c r="A482" s="34" t="s">
        <v>407</v>
      </c>
      <c r="B482" s="34" t="s">
        <v>285</v>
      </c>
      <c r="C482" s="34" t="s">
        <v>286</v>
      </c>
      <c r="D482" s="29">
        <v>46121.558865740742</v>
      </c>
      <c r="E482" s="34" t="s">
        <v>287</v>
      </c>
      <c r="F482" t="b">
        <v>1</v>
      </c>
      <c r="G482" s="34" t="s">
        <v>226</v>
      </c>
      <c r="H482" t="b">
        <v>0</v>
      </c>
    </row>
    <row r="483" spans="1:8" x14ac:dyDescent="0.35">
      <c r="A483" s="34" t="s">
        <v>565</v>
      </c>
      <c r="B483" s="34" t="s">
        <v>285</v>
      </c>
      <c r="C483" s="34" t="s">
        <v>286</v>
      </c>
      <c r="D483" s="29">
        <v>46121.557013888887</v>
      </c>
      <c r="E483" s="34" t="s">
        <v>287</v>
      </c>
      <c r="F483" t="b">
        <v>1</v>
      </c>
      <c r="G483" s="34" t="s">
        <v>73</v>
      </c>
      <c r="H483" t="b">
        <v>0</v>
      </c>
    </row>
    <row r="484" spans="1:8" x14ac:dyDescent="0.35">
      <c r="A484" s="34" t="s">
        <v>407</v>
      </c>
      <c r="B484" s="34" t="s">
        <v>225</v>
      </c>
      <c r="C484" s="34" t="s">
        <v>353</v>
      </c>
      <c r="D484" s="29">
        <v>46121.537731481483</v>
      </c>
      <c r="E484" s="34" t="s">
        <v>287</v>
      </c>
      <c r="F484" t="b">
        <v>1</v>
      </c>
      <c r="G484" s="34" t="s">
        <v>288</v>
      </c>
      <c r="H484" t="b">
        <v>0</v>
      </c>
    </row>
    <row r="485" spans="1:8" x14ac:dyDescent="0.35">
      <c r="A485" s="34" t="s">
        <v>566</v>
      </c>
      <c r="B485" s="34" t="s">
        <v>285</v>
      </c>
      <c r="C485" s="34" t="s">
        <v>286</v>
      </c>
      <c r="D485" s="29">
        <v>46121.506863425922</v>
      </c>
      <c r="E485" s="34" t="s">
        <v>287</v>
      </c>
      <c r="F485" t="b">
        <v>1</v>
      </c>
      <c r="G485" s="34" t="s">
        <v>288</v>
      </c>
      <c r="H485" t="b">
        <v>0</v>
      </c>
    </row>
    <row r="486" spans="1:8" x14ac:dyDescent="0.35">
      <c r="A486" s="34" t="s">
        <v>567</v>
      </c>
      <c r="B486" s="34" t="s">
        <v>324</v>
      </c>
      <c r="C486" s="34" t="s">
        <v>325</v>
      </c>
      <c r="D486" s="29">
        <v>46121.505740740744</v>
      </c>
      <c r="E486" s="34" t="s">
        <v>287</v>
      </c>
      <c r="F486" t="b">
        <v>1</v>
      </c>
      <c r="G486" s="34" t="s">
        <v>288</v>
      </c>
      <c r="H486" t="b">
        <v>0</v>
      </c>
    </row>
    <row r="487" spans="1:8" x14ac:dyDescent="0.35">
      <c r="A487" s="34" t="s">
        <v>568</v>
      </c>
      <c r="B487" s="34" t="s">
        <v>297</v>
      </c>
      <c r="C487" s="34" t="s">
        <v>298</v>
      </c>
      <c r="D487" s="29">
        <v>46121.482407407406</v>
      </c>
      <c r="E487" s="34" t="s">
        <v>287</v>
      </c>
      <c r="F487" t="b">
        <v>1</v>
      </c>
      <c r="G487" s="34" t="s">
        <v>222</v>
      </c>
      <c r="H487" t="b">
        <v>0</v>
      </c>
    </row>
    <row r="488" spans="1:8" x14ac:dyDescent="0.35">
      <c r="A488" s="34" t="s">
        <v>569</v>
      </c>
      <c r="B488" s="34" t="s">
        <v>336</v>
      </c>
      <c r="C488" s="34" t="s">
        <v>337</v>
      </c>
      <c r="D488" s="29">
        <v>46121.385983796295</v>
      </c>
      <c r="E488" s="34" t="s">
        <v>287</v>
      </c>
      <c r="F488" t="b">
        <v>1</v>
      </c>
      <c r="G488" s="34" t="s">
        <v>222</v>
      </c>
      <c r="H488" t="b">
        <v>0</v>
      </c>
    </row>
    <row r="489" spans="1:8" x14ac:dyDescent="0.35">
      <c r="A489" s="34" t="s">
        <v>533</v>
      </c>
      <c r="B489" s="34" t="s">
        <v>419</v>
      </c>
      <c r="C489" s="34" t="s">
        <v>420</v>
      </c>
      <c r="D489" s="29">
        <v>46121.338703703703</v>
      </c>
      <c r="E489" s="34" t="s">
        <v>287</v>
      </c>
      <c r="F489" t="b">
        <v>1</v>
      </c>
      <c r="G489" s="34" t="s">
        <v>222</v>
      </c>
      <c r="H489" t="b">
        <v>0</v>
      </c>
    </row>
    <row r="490" spans="1:8" x14ac:dyDescent="0.35">
      <c r="A490" s="34" t="s">
        <v>299</v>
      </c>
      <c r="B490" s="34" t="s">
        <v>300</v>
      </c>
      <c r="C490" s="34" t="s">
        <v>301</v>
      </c>
      <c r="D490" s="29">
        <v>46121.271365740744</v>
      </c>
      <c r="E490" s="34" t="s">
        <v>287</v>
      </c>
      <c r="F490" t="b">
        <v>1</v>
      </c>
      <c r="G490" s="34" t="s">
        <v>302</v>
      </c>
      <c r="H490" t="b">
        <v>0</v>
      </c>
    </row>
    <row r="491" spans="1:8" x14ac:dyDescent="0.35">
      <c r="A491" s="34" t="s">
        <v>570</v>
      </c>
      <c r="B491" s="34" t="s">
        <v>294</v>
      </c>
      <c r="C491" s="34" t="s">
        <v>295</v>
      </c>
      <c r="D491" s="29">
        <v>46120.748159722221</v>
      </c>
      <c r="E491" s="34" t="s">
        <v>287</v>
      </c>
      <c r="F491" t="b">
        <v>1</v>
      </c>
      <c r="G491" s="34" t="s">
        <v>414</v>
      </c>
      <c r="H491" t="b">
        <v>0</v>
      </c>
    </row>
    <row r="492" spans="1:8" x14ac:dyDescent="0.35">
      <c r="A492" s="34" t="s">
        <v>571</v>
      </c>
      <c r="B492" s="34" t="s">
        <v>294</v>
      </c>
      <c r="C492" s="34" t="s">
        <v>295</v>
      </c>
      <c r="D492" s="29">
        <v>46120.63453703704</v>
      </c>
      <c r="E492" s="34" t="s">
        <v>287</v>
      </c>
      <c r="F492" t="b">
        <v>1</v>
      </c>
      <c r="G492" s="34" t="s">
        <v>223</v>
      </c>
      <c r="H492" t="b">
        <v>0</v>
      </c>
    </row>
    <row r="493" spans="1:8" x14ac:dyDescent="0.35">
      <c r="A493" s="34" t="s">
        <v>407</v>
      </c>
      <c r="B493" s="34" t="s">
        <v>285</v>
      </c>
      <c r="C493" s="34" t="s">
        <v>286</v>
      </c>
      <c r="D493" s="29">
        <v>46120.626238425924</v>
      </c>
      <c r="E493" s="34" t="s">
        <v>287</v>
      </c>
      <c r="F493" t="b">
        <v>1</v>
      </c>
      <c r="G493" s="34" t="s">
        <v>222</v>
      </c>
      <c r="H493" t="b">
        <v>0</v>
      </c>
    </row>
    <row r="494" spans="1:8" x14ac:dyDescent="0.35">
      <c r="A494" s="34" t="s">
        <v>533</v>
      </c>
      <c r="B494" s="34" t="s">
        <v>419</v>
      </c>
      <c r="C494" s="34" t="s">
        <v>420</v>
      </c>
      <c r="D494" s="29">
        <v>46120.577152777776</v>
      </c>
      <c r="E494" s="34" t="s">
        <v>287</v>
      </c>
      <c r="F494" t="b">
        <v>1</v>
      </c>
      <c r="G494" s="34" t="s">
        <v>288</v>
      </c>
      <c r="H494" t="b">
        <v>0</v>
      </c>
    </row>
    <row r="495" spans="1:8" x14ac:dyDescent="0.35">
      <c r="A495" s="34" t="s">
        <v>572</v>
      </c>
      <c r="B495" s="34" t="s">
        <v>294</v>
      </c>
      <c r="C495" s="34" t="s">
        <v>295</v>
      </c>
      <c r="D495" s="29">
        <v>46120.480243055557</v>
      </c>
      <c r="E495" s="34" t="s">
        <v>287</v>
      </c>
      <c r="F495" t="b">
        <v>1</v>
      </c>
      <c r="G495" s="34" t="s">
        <v>380</v>
      </c>
      <c r="H495" t="b">
        <v>0</v>
      </c>
    </row>
    <row r="496" spans="1:8" x14ac:dyDescent="0.35">
      <c r="A496" s="34" t="s">
        <v>299</v>
      </c>
      <c r="B496" s="34" t="s">
        <v>300</v>
      </c>
      <c r="C496" s="34" t="s">
        <v>301</v>
      </c>
      <c r="D496" s="29">
        <v>46120.271249999998</v>
      </c>
      <c r="E496" s="34" t="s">
        <v>287</v>
      </c>
      <c r="F496" t="b">
        <v>1</v>
      </c>
      <c r="G496" s="34" t="s">
        <v>302</v>
      </c>
      <c r="H496" t="b">
        <v>0</v>
      </c>
    </row>
    <row r="497" spans="1:8" x14ac:dyDescent="0.35">
      <c r="A497" s="34" t="s">
        <v>573</v>
      </c>
      <c r="B497" s="34" t="s">
        <v>294</v>
      </c>
      <c r="C497" s="34" t="s">
        <v>295</v>
      </c>
      <c r="D497" s="29">
        <v>46119.736921296295</v>
      </c>
      <c r="E497" s="34" t="s">
        <v>287</v>
      </c>
      <c r="F497" t="b">
        <v>1</v>
      </c>
      <c r="G497" s="34" t="s">
        <v>423</v>
      </c>
      <c r="H497" t="b">
        <v>0</v>
      </c>
    </row>
    <row r="498" spans="1:8" x14ac:dyDescent="0.35">
      <c r="A498" s="34" t="s">
        <v>574</v>
      </c>
      <c r="B498" s="34" t="s">
        <v>294</v>
      </c>
      <c r="C498" s="34" t="s">
        <v>295</v>
      </c>
      <c r="D498" s="29">
        <v>46119.676666666666</v>
      </c>
      <c r="E498" s="34" t="s">
        <v>287</v>
      </c>
      <c r="F498" t="b">
        <v>1</v>
      </c>
      <c r="G498" s="34" t="s">
        <v>380</v>
      </c>
      <c r="H498" t="b">
        <v>0</v>
      </c>
    </row>
    <row r="499" spans="1:8" x14ac:dyDescent="0.35">
      <c r="A499" s="34" t="s">
        <v>575</v>
      </c>
      <c r="B499" s="34" t="s">
        <v>294</v>
      </c>
      <c r="C499" s="34" t="s">
        <v>295</v>
      </c>
      <c r="D499" s="29">
        <v>46119.429340277777</v>
      </c>
      <c r="E499" s="34" t="s">
        <v>287</v>
      </c>
      <c r="F499" t="b">
        <v>1</v>
      </c>
      <c r="G499" s="34" t="s">
        <v>359</v>
      </c>
      <c r="H499" t="b">
        <v>0</v>
      </c>
    </row>
    <row r="500" spans="1:8" x14ac:dyDescent="0.35">
      <c r="A500" s="34" t="s">
        <v>299</v>
      </c>
      <c r="B500" s="34" t="s">
        <v>300</v>
      </c>
      <c r="C500" s="34" t="s">
        <v>301</v>
      </c>
      <c r="D500" s="29">
        <v>46119.270972222221</v>
      </c>
      <c r="E500" s="34" t="s">
        <v>287</v>
      </c>
      <c r="F500" t="b">
        <v>1</v>
      </c>
      <c r="G500" s="34" t="s">
        <v>302</v>
      </c>
      <c r="H500" t="b">
        <v>0</v>
      </c>
    </row>
    <row r="501" spans="1:8" x14ac:dyDescent="0.35">
      <c r="A501" s="34" t="s">
        <v>565</v>
      </c>
      <c r="B501" s="34" t="s">
        <v>285</v>
      </c>
      <c r="C501" s="34" t="s">
        <v>286</v>
      </c>
      <c r="D501" s="29">
        <v>46118.59138888889</v>
      </c>
      <c r="E501" s="34" t="s">
        <v>287</v>
      </c>
      <c r="F501" t="b">
        <v>1</v>
      </c>
      <c r="G501" s="34" t="s">
        <v>222</v>
      </c>
      <c r="H501" t="b">
        <v>0</v>
      </c>
    </row>
    <row r="502" spans="1:8" x14ac:dyDescent="0.35">
      <c r="A502" s="34" t="s">
        <v>576</v>
      </c>
      <c r="B502" s="34" t="s">
        <v>285</v>
      </c>
      <c r="C502" s="34" t="s">
        <v>286</v>
      </c>
      <c r="D502" s="29">
        <v>46118.568009259259</v>
      </c>
      <c r="E502" s="34" t="s">
        <v>287</v>
      </c>
      <c r="F502" t="b">
        <v>1</v>
      </c>
      <c r="G502" s="34" t="s">
        <v>288</v>
      </c>
      <c r="H502" t="b">
        <v>0</v>
      </c>
    </row>
    <row r="503" spans="1:8" x14ac:dyDescent="0.35">
      <c r="A503" s="34" t="s">
        <v>576</v>
      </c>
      <c r="B503" s="34" t="s">
        <v>398</v>
      </c>
      <c r="C503" s="34" t="s">
        <v>399</v>
      </c>
      <c r="D503" s="29">
        <v>46118.56486111111</v>
      </c>
      <c r="E503" s="34" t="s">
        <v>287</v>
      </c>
      <c r="F503" t="b">
        <v>1</v>
      </c>
      <c r="G503" s="34" t="s">
        <v>288</v>
      </c>
      <c r="H503" t="b">
        <v>0</v>
      </c>
    </row>
    <row r="504" spans="1:8" x14ac:dyDescent="0.35">
      <c r="A504" s="34" t="s">
        <v>299</v>
      </c>
      <c r="B504" s="34" t="s">
        <v>300</v>
      </c>
      <c r="C504" s="34" t="s">
        <v>301</v>
      </c>
      <c r="D504" s="29">
        <v>46118.271053240744</v>
      </c>
      <c r="E504" s="34" t="s">
        <v>287</v>
      </c>
      <c r="F504" t="b">
        <v>1</v>
      </c>
      <c r="G504" s="34" t="s">
        <v>302</v>
      </c>
      <c r="H504" t="b">
        <v>0</v>
      </c>
    </row>
    <row r="505" spans="1:8" x14ac:dyDescent="0.35">
      <c r="A505" s="34" t="s">
        <v>299</v>
      </c>
      <c r="B505" s="34" t="s">
        <v>300</v>
      </c>
      <c r="C505" s="34" t="s">
        <v>301</v>
      </c>
      <c r="D505" s="29">
        <v>46117.271284722221</v>
      </c>
      <c r="E505" s="34" t="s">
        <v>287</v>
      </c>
      <c r="F505" t="b">
        <v>1</v>
      </c>
      <c r="G505" s="34" t="s">
        <v>302</v>
      </c>
      <c r="H505" t="b">
        <v>0</v>
      </c>
    </row>
    <row r="506" spans="1:8" x14ac:dyDescent="0.35">
      <c r="A506" s="34" t="s">
        <v>577</v>
      </c>
      <c r="B506" s="34" t="s">
        <v>294</v>
      </c>
      <c r="C506" s="34" t="s">
        <v>295</v>
      </c>
      <c r="D506" s="29">
        <v>46117.070787037039</v>
      </c>
      <c r="E506" s="34" t="s">
        <v>287</v>
      </c>
      <c r="F506" t="b">
        <v>1</v>
      </c>
      <c r="G506" s="34" t="s">
        <v>578</v>
      </c>
      <c r="H506" t="b">
        <v>0</v>
      </c>
    </row>
    <row r="507" spans="1:8" x14ac:dyDescent="0.35">
      <c r="A507" s="34" t="s">
        <v>579</v>
      </c>
      <c r="B507" s="34" t="s">
        <v>294</v>
      </c>
      <c r="C507" s="34" t="s">
        <v>295</v>
      </c>
      <c r="D507" s="29">
        <v>46117.069953703707</v>
      </c>
      <c r="E507" s="34" t="s">
        <v>287</v>
      </c>
      <c r="F507" t="b">
        <v>1</v>
      </c>
      <c r="G507" s="34" t="s">
        <v>578</v>
      </c>
      <c r="H507" t="b">
        <v>0</v>
      </c>
    </row>
    <row r="508" spans="1:8" x14ac:dyDescent="0.35">
      <c r="A508" s="34" t="s">
        <v>299</v>
      </c>
      <c r="B508" s="34" t="s">
        <v>300</v>
      </c>
      <c r="C508" s="34" t="s">
        <v>301</v>
      </c>
      <c r="D508" s="29">
        <v>46116.271145833336</v>
      </c>
      <c r="E508" s="34" t="s">
        <v>287</v>
      </c>
      <c r="F508" t="b">
        <v>1</v>
      </c>
      <c r="G508" s="34" t="s">
        <v>302</v>
      </c>
      <c r="H508" t="b">
        <v>0</v>
      </c>
    </row>
    <row r="509" spans="1:8" x14ac:dyDescent="0.35">
      <c r="A509" s="34" t="s">
        <v>580</v>
      </c>
      <c r="B509" s="34" t="s">
        <v>294</v>
      </c>
      <c r="C509" s="34" t="s">
        <v>295</v>
      </c>
      <c r="D509" s="29">
        <v>46115.82917824074</v>
      </c>
      <c r="E509" s="34" t="s">
        <v>287</v>
      </c>
      <c r="F509" t="b">
        <v>1</v>
      </c>
      <c r="G509" s="34" t="s">
        <v>581</v>
      </c>
      <c r="H509" t="b">
        <v>0</v>
      </c>
    </row>
    <row r="510" spans="1:8" x14ac:dyDescent="0.35">
      <c r="A510" s="34" t="s">
        <v>441</v>
      </c>
      <c r="B510" s="34" t="s">
        <v>285</v>
      </c>
      <c r="C510" s="34" t="s">
        <v>286</v>
      </c>
      <c r="D510" s="29">
        <v>46115.691655092596</v>
      </c>
      <c r="E510" s="34" t="s">
        <v>287</v>
      </c>
      <c r="F510" t="b">
        <v>1</v>
      </c>
      <c r="G510" s="34" t="s">
        <v>288</v>
      </c>
      <c r="H510" t="b">
        <v>0</v>
      </c>
    </row>
    <row r="511" spans="1:8" x14ac:dyDescent="0.35">
      <c r="A511" s="34" t="s">
        <v>582</v>
      </c>
      <c r="B511" s="34" t="s">
        <v>294</v>
      </c>
      <c r="C511" s="34" t="s">
        <v>295</v>
      </c>
      <c r="D511" s="29">
        <v>46115.573263888888</v>
      </c>
      <c r="E511" s="34" t="s">
        <v>287</v>
      </c>
      <c r="F511" t="b">
        <v>1</v>
      </c>
      <c r="G511" s="34" t="s">
        <v>357</v>
      </c>
      <c r="H511" t="b">
        <v>0</v>
      </c>
    </row>
    <row r="512" spans="1:8" x14ac:dyDescent="0.35">
      <c r="A512" s="34" t="s">
        <v>583</v>
      </c>
      <c r="B512" s="34" t="s">
        <v>324</v>
      </c>
      <c r="C512" s="34" t="s">
        <v>325</v>
      </c>
      <c r="D512" s="29">
        <v>46115.411504629628</v>
      </c>
      <c r="E512" s="34" t="s">
        <v>287</v>
      </c>
      <c r="F512" t="b">
        <v>1</v>
      </c>
      <c r="G512" s="34" t="s">
        <v>288</v>
      </c>
      <c r="H512" t="b">
        <v>0</v>
      </c>
    </row>
    <row r="513" spans="1:8" x14ac:dyDescent="0.35">
      <c r="A513" s="34" t="s">
        <v>584</v>
      </c>
      <c r="B513" s="34" t="s">
        <v>294</v>
      </c>
      <c r="C513" s="34" t="s">
        <v>295</v>
      </c>
      <c r="D513" s="29">
        <v>46115.407650462963</v>
      </c>
      <c r="E513" s="34" t="s">
        <v>287</v>
      </c>
      <c r="F513" t="b">
        <v>1</v>
      </c>
      <c r="G513" s="34" t="s">
        <v>578</v>
      </c>
      <c r="H513" t="b">
        <v>0</v>
      </c>
    </row>
    <row r="514" spans="1:8" x14ac:dyDescent="0.35">
      <c r="A514" s="34" t="s">
        <v>585</v>
      </c>
      <c r="B514" s="34" t="s">
        <v>294</v>
      </c>
      <c r="C514" s="34" t="s">
        <v>295</v>
      </c>
      <c r="D514" s="29">
        <v>46115.407222222224</v>
      </c>
      <c r="E514" s="34" t="s">
        <v>287</v>
      </c>
      <c r="F514" t="b">
        <v>1</v>
      </c>
      <c r="G514" s="34" t="s">
        <v>578</v>
      </c>
      <c r="H514" t="b">
        <v>0</v>
      </c>
    </row>
    <row r="515" spans="1:8" x14ac:dyDescent="0.35">
      <c r="A515" s="34" t="s">
        <v>586</v>
      </c>
      <c r="B515" s="34" t="s">
        <v>336</v>
      </c>
      <c r="C515" s="34" t="s">
        <v>337</v>
      </c>
      <c r="D515" s="29">
        <v>46115.398587962962</v>
      </c>
      <c r="E515" s="34" t="s">
        <v>287</v>
      </c>
      <c r="F515" t="b">
        <v>1</v>
      </c>
      <c r="G515" s="34" t="s">
        <v>226</v>
      </c>
      <c r="H515" t="b">
        <v>0</v>
      </c>
    </row>
    <row r="516" spans="1:8" x14ac:dyDescent="0.35">
      <c r="A516" s="34" t="s">
        <v>299</v>
      </c>
      <c r="B516" s="34" t="s">
        <v>300</v>
      </c>
      <c r="C516" s="34" t="s">
        <v>301</v>
      </c>
      <c r="D516" s="29">
        <v>46115.271168981482</v>
      </c>
      <c r="E516" s="34" t="s">
        <v>287</v>
      </c>
      <c r="F516" t="b">
        <v>1</v>
      </c>
      <c r="G516" s="34" t="s">
        <v>302</v>
      </c>
      <c r="H516" t="b">
        <v>0</v>
      </c>
    </row>
    <row r="517" spans="1:8" x14ac:dyDescent="0.35">
      <c r="A517" s="34" t="s">
        <v>587</v>
      </c>
      <c r="B517" s="34" t="s">
        <v>294</v>
      </c>
      <c r="C517" s="34" t="s">
        <v>295</v>
      </c>
      <c r="D517" s="29">
        <v>46115.218576388892</v>
      </c>
      <c r="E517" s="34" t="s">
        <v>287</v>
      </c>
      <c r="F517" t="b">
        <v>1</v>
      </c>
      <c r="G517" s="34" t="s">
        <v>578</v>
      </c>
      <c r="H517" t="b">
        <v>0</v>
      </c>
    </row>
    <row r="518" spans="1:8" x14ac:dyDescent="0.35">
      <c r="A518" s="34" t="s">
        <v>588</v>
      </c>
      <c r="B518" s="34" t="s">
        <v>294</v>
      </c>
      <c r="C518" s="34" t="s">
        <v>295</v>
      </c>
      <c r="D518" s="29">
        <v>46115.218576388892</v>
      </c>
      <c r="E518" s="34" t="s">
        <v>287</v>
      </c>
      <c r="F518" t="b">
        <v>1</v>
      </c>
      <c r="G518" s="34" t="s">
        <v>578</v>
      </c>
      <c r="H518" t="b">
        <v>0</v>
      </c>
    </row>
    <row r="519" spans="1:8" x14ac:dyDescent="0.35">
      <c r="A519" s="34" t="s">
        <v>589</v>
      </c>
      <c r="B519" s="34" t="s">
        <v>294</v>
      </c>
      <c r="C519" s="34" t="s">
        <v>295</v>
      </c>
      <c r="D519" s="29">
        <v>46115.218136574076</v>
      </c>
      <c r="E519" s="34" t="s">
        <v>287</v>
      </c>
      <c r="F519" t="b">
        <v>1</v>
      </c>
      <c r="G519" s="34" t="s">
        <v>578</v>
      </c>
      <c r="H519" t="b">
        <v>0</v>
      </c>
    </row>
    <row r="520" spans="1:8" x14ac:dyDescent="0.35">
      <c r="A520" s="34" t="s">
        <v>590</v>
      </c>
      <c r="B520" s="34" t="s">
        <v>294</v>
      </c>
      <c r="C520" s="34" t="s">
        <v>295</v>
      </c>
      <c r="D520" s="29">
        <v>46115.207708333335</v>
      </c>
      <c r="E520" s="34" t="s">
        <v>287</v>
      </c>
      <c r="F520" t="b">
        <v>1</v>
      </c>
      <c r="G520" s="34" t="s">
        <v>578</v>
      </c>
      <c r="H520" t="b">
        <v>0</v>
      </c>
    </row>
    <row r="521" spans="1:8" x14ac:dyDescent="0.35">
      <c r="A521" s="34" t="s">
        <v>591</v>
      </c>
      <c r="B521" s="34" t="s">
        <v>294</v>
      </c>
      <c r="C521" s="34" t="s">
        <v>295</v>
      </c>
      <c r="D521" s="29">
        <v>46115.207187499997</v>
      </c>
      <c r="E521" s="34" t="s">
        <v>287</v>
      </c>
      <c r="F521" t="b">
        <v>1</v>
      </c>
      <c r="G521" s="34" t="s">
        <v>578</v>
      </c>
      <c r="H521" t="b">
        <v>0</v>
      </c>
    </row>
    <row r="522" spans="1:8" x14ac:dyDescent="0.35">
      <c r="A522" s="34" t="s">
        <v>592</v>
      </c>
      <c r="B522" s="34" t="s">
        <v>294</v>
      </c>
      <c r="C522" s="34" t="s">
        <v>295</v>
      </c>
      <c r="D522" s="29">
        <v>46114.84648148148</v>
      </c>
      <c r="E522" s="34" t="s">
        <v>287</v>
      </c>
      <c r="F522" t="b">
        <v>1</v>
      </c>
      <c r="G522" s="34" t="s">
        <v>357</v>
      </c>
      <c r="H522" t="b">
        <v>0</v>
      </c>
    </row>
    <row r="523" spans="1:8" x14ac:dyDescent="0.35">
      <c r="A523" s="34" t="s">
        <v>422</v>
      </c>
      <c r="B523" s="34" t="s">
        <v>294</v>
      </c>
      <c r="C523" s="34" t="s">
        <v>295</v>
      </c>
      <c r="D523" s="29">
        <v>46114.754317129627</v>
      </c>
      <c r="E523" s="34" t="s">
        <v>287</v>
      </c>
      <c r="F523" t="b">
        <v>1</v>
      </c>
      <c r="G523" s="34" t="s">
        <v>288</v>
      </c>
      <c r="H523" t="b">
        <v>0</v>
      </c>
    </row>
    <row r="524" spans="1:8" x14ac:dyDescent="0.35">
      <c r="A524" s="34" t="s">
        <v>593</v>
      </c>
      <c r="B524" s="34" t="s">
        <v>294</v>
      </c>
      <c r="C524" s="34" t="s">
        <v>295</v>
      </c>
      <c r="D524" s="29">
        <v>46114.730324074073</v>
      </c>
      <c r="E524" s="34" t="s">
        <v>287</v>
      </c>
      <c r="F524" t="b">
        <v>1</v>
      </c>
      <c r="G524" s="34" t="s">
        <v>288</v>
      </c>
      <c r="H524" t="b">
        <v>0</v>
      </c>
    </row>
    <row r="525" spans="1:8" x14ac:dyDescent="0.35">
      <c r="A525" s="34" t="s">
        <v>594</v>
      </c>
      <c r="B525" s="34" t="s">
        <v>294</v>
      </c>
      <c r="C525" s="34" t="s">
        <v>295</v>
      </c>
      <c r="D525" s="29">
        <v>46114.658958333333</v>
      </c>
      <c r="E525" s="34" t="s">
        <v>287</v>
      </c>
      <c r="F525" t="b">
        <v>1</v>
      </c>
      <c r="G525" s="34" t="s">
        <v>331</v>
      </c>
      <c r="H525" t="b">
        <v>0</v>
      </c>
    </row>
    <row r="526" spans="1:8" x14ac:dyDescent="0.35">
      <c r="A526" s="34" t="s">
        <v>595</v>
      </c>
      <c r="B526" s="34" t="s">
        <v>285</v>
      </c>
      <c r="C526" s="34" t="s">
        <v>286</v>
      </c>
      <c r="D526" s="29">
        <v>46114.479768518519</v>
      </c>
      <c r="E526" s="34" t="s">
        <v>287</v>
      </c>
      <c r="F526" t="b">
        <v>1</v>
      </c>
      <c r="G526" s="34" t="s">
        <v>288</v>
      </c>
      <c r="H526" t="b">
        <v>0</v>
      </c>
    </row>
    <row r="527" spans="1:8" x14ac:dyDescent="0.35">
      <c r="A527" s="34" t="s">
        <v>596</v>
      </c>
      <c r="B527" s="34" t="s">
        <v>315</v>
      </c>
      <c r="C527" s="34" t="s">
        <v>316</v>
      </c>
      <c r="D527" s="29">
        <v>46114.474965277775</v>
      </c>
      <c r="E527" s="34" t="s">
        <v>287</v>
      </c>
      <c r="F527" t="b">
        <v>1</v>
      </c>
      <c r="G527" s="34" t="s">
        <v>511</v>
      </c>
      <c r="H527" t="b">
        <v>0</v>
      </c>
    </row>
    <row r="528" spans="1:8" x14ac:dyDescent="0.35">
      <c r="A528" s="34" t="s">
        <v>595</v>
      </c>
      <c r="B528" s="34" t="s">
        <v>285</v>
      </c>
      <c r="C528" s="34" t="s">
        <v>286</v>
      </c>
      <c r="D528" s="29">
        <v>46114.474143518521</v>
      </c>
      <c r="E528" s="34" t="s">
        <v>287</v>
      </c>
      <c r="F528" t="b">
        <v>1</v>
      </c>
      <c r="G528" s="34" t="s">
        <v>222</v>
      </c>
      <c r="H528" t="b">
        <v>0</v>
      </c>
    </row>
    <row r="529" spans="1:8" x14ac:dyDescent="0.35">
      <c r="A529" s="34" t="s">
        <v>597</v>
      </c>
      <c r="B529" s="34" t="s">
        <v>294</v>
      </c>
      <c r="C529" s="34" t="s">
        <v>295</v>
      </c>
      <c r="D529" s="29">
        <v>46114.32675925926</v>
      </c>
      <c r="E529" s="34" t="s">
        <v>287</v>
      </c>
      <c r="F529" t="b">
        <v>1</v>
      </c>
      <c r="G529" s="34" t="s">
        <v>550</v>
      </c>
      <c r="H529" t="b">
        <v>0</v>
      </c>
    </row>
    <row r="530" spans="1:8" x14ac:dyDescent="0.35">
      <c r="A530" s="34" t="s">
        <v>299</v>
      </c>
      <c r="B530" s="34" t="s">
        <v>300</v>
      </c>
      <c r="C530" s="34" t="s">
        <v>301</v>
      </c>
      <c r="D530" s="29">
        <v>46114.271192129629</v>
      </c>
      <c r="E530" s="34" t="s">
        <v>287</v>
      </c>
      <c r="F530" t="b">
        <v>1</v>
      </c>
      <c r="G530" s="34" t="s">
        <v>302</v>
      </c>
      <c r="H530" t="b">
        <v>0</v>
      </c>
    </row>
    <row r="531" spans="1:8" x14ac:dyDescent="0.35">
      <c r="A531" s="34" t="s">
        <v>598</v>
      </c>
      <c r="B531" s="34" t="s">
        <v>294</v>
      </c>
      <c r="C531" s="34" t="s">
        <v>295</v>
      </c>
      <c r="D531" s="29">
        <v>46113.728333333333</v>
      </c>
      <c r="E531" s="34" t="s">
        <v>287</v>
      </c>
      <c r="F531" t="b">
        <v>1</v>
      </c>
      <c r="G531" s="34" t="s">
        <v>578</v>
      </c>
      <c r="H531" t="b">
        <v>0</v>
      </c>
    </row>
    <row r="532" spans="1:8" x14ac:dyDescent="0.35">
      <c r="A532" s="34" t="s">
        <v>599</v>
      </c>
      <c r="B532" s="34" t="s">
        <v>294</v>
      </c>
      <c r="C532" s="34" t="s">
        <v>295</v>
      </c>
      <c r="D532" s="29">
        <v>46113.726782407408</v>
      </c>
      <c r="E532" s="34" t="s">
        <v>287</v>
      </c>
      <c r="F532" t="b">
        <v>1</v>
      </c>
      <c r="G532" s="34" t="s">
        <v>331</v>
      </c>
      <c r="H532" t="b">
        <v>0</v>
      </c>
    </row>
    <row r="533" spans="1:8" x14ac:dyDescent="0.35">
      <c r="A533" s="34" t="s">
        <v>533</v>
      </c>
      <c r="B533" s="34" t="s">
        <v>419</v>
      </c>
      <c r="C533" s="34" t="s">
        <v>420</v>
      </c>
      <c r="D533" s="29">
        <v>46113.665000000001</v>
      </c>
      <c r="E533" s="34" t="s">
        <v>287</v>
      </c>
      <c r="F533" t="b">
        <v>1</v>
      </c>
      <c r="G533" s="34" t="s">
        <v>226</v>
      </c>
      <c r="H533" t="b">
        <v>0</v>
      </c>
    </row>
    <row r="534" spans="1:8" x14ac:dyDescent="0.35">
      <c r="A534" s="34" t="s">
        <v>565</v>
      </c>
      <c r="B534" s="34" t="s">
        <v>285</v>
      </c>
      <c r="C534" s="34" t="s">
        <v>286</v>
      </c>
      <c r="D534" s="29">
        <v>46113.655914351853</v>
      </c>
      <c r="E534" s="34" t="s">
        <v>287</v>
      </c>
      <c r="F534" t="b">
        <v>1</v>
      </c>
      <c r="G534" s="34" t="s">
        <v>226</v>
      </c>
      <c r="H534" t="b">
        <v>0</v>
      </c>
    </row>
    <row r="535" spans="1:8" x14ac:dyDescent="0.35">
      <c r="A535" s="34" t="s">
        <v>600</v>
      </c>
      <c r="B535" s="34" t="s">
        <v>294</v>
      </c>
      <c r="C535" s="34" t="s">
        <v>295</v>
      </c>
      <c r="D535" s="29">
        <v>46113.619756944441</v>
      </c>
      <c r="E535" s="34" t="s">
        <v>287</v>
      </c>
      <c r="F535" t="b">
        <v>1</v>
      </c>
      <c r="G535" s="34" t="s">
        <v>380</v>
      </c>
      <c r="H535" t="b">
        <v>0</v>
      </c>
    </row>
    <row r="536" spans="1:8" x14ac:dyDescent="0.35">
      <c r="A536" s="34" t="s">
        <v>565</v>
      </c>
      <c r="B536" s="34" t="s">
        <v>342</v>
      </c>
      <c r="C536" s="34" t="s">
        <v>343</v>
      </c>
      <c r="D536" s="29">
        <v>46113.601782407408</v>
      </c>
      <c r="E536" s="34" t="s">
        <v>287</v>
      </c>
      <c r="F536" t="b">
        <v>1</v>
      </c>
      <c r="G536" s="34" t="s">
        <v>288</v>
      </c>
      <c r="H536" t="b">
        <v>0</v>
      </c>
    </row>
    <row r="537" spans="1:8" x14ac:dyDescent="0.35">
      <c r="A537" s="34" t="s">
        <v>565</v>
      </c>
      <c r="B537" s="34" t="s">
        <v>336</v>
      </c>
      <c r="C537" s="34" t="s">
        <v>337</v>
      </c>
      <c r="D537" s="29">
        <v>46113.573587962965</v>
      </c>
      <c r="E537" s="34" t="s">
        <v>287</v>
      </c>
      <c r="F537" t="b">
        <v>1</v>
      </c>
      <c r="G537" s="34" t="s">
        <v>288</v>
      </c>
      <c r="H537" t="b">
        <v>1</v>
      </c>
    </row>
    <row r="538" spans="1:8" x14ac:dyDescent="0.35">
      <c r="A538" s="34" t="s">
        <v>601</v>
      </c>
      <c r="B538" s="34" t="s">
        <v>294</v>
      </c>
      <c r="C538" s="34" t="s">
        <v>295</v>
      </c>
      <c r="D538" s="29">
        <v>46113.559027777781</v>
      </c>
      <c r="E538" s="34" t="s">
        <v>287</v>
      </c>
      <c r="F538" t="b">
        <v>1</v>
      </c>
      <c r="G538" s="34" t="s">
        <v>602</v>
      </c>
      <c r="H538" t="b">
        <v>0</v>
      </c>
    </row>
    <row r="539" spans="1:8" x14ac:dyDescent="0.35">
      <c r="A539" s="34" t="s">
        <v>603</v>
      </c>
      <c r="B539" s="34" t="s">
        <v>294</v>
      </c>
      <c r="C539" s="34" t="s">
        <v>295</v>
      </c>
      <c r="D539" s="29">
        <v>46113.558611111112</v>
      </c>
      <c r="E539" s="34" t="s">
        <v>287</v>
      </c>
      <c r="F539" t="b">
        <v>1</v>
      </c>
      <c r="G539" s="34" t="s">
        <v>578</v>
      </c>
      <c r="H539" t="b">
        <v>0</v>
      </c>
    </row>
    <row r="540" spans="1:8" x14ac:dyDescent="0.35">
      <c r="A540" s="34" t="s">
        <v>604</v>
      </c>
      <c r="B540" s="34" t="s">
        <v>294</v>
      </c>
      <c r="C540" s="34" t="s">
        <v>295</v>
      </c>
      <c r="D540" s="29">
        <v>46113.557812500003</v>
      </c>
      <c r="E540" s="34" t="s">
        <v>287</v>
      </c>
      <c r="F540" t="b">
        <v>1</v>
      </c>
      <c r="G540" s="34" t="s">
        <v>578</v>
      </c>
      <c r="H540" t="b">
        <v>0</v>
      </c>
    </row>
    <row r="541" spans="1:8" x14ac:dyDescent="0.35">
      <c r="A541" s="34" t="s">
        <v>605</v>
      </c>
      <c r="B541" s="34" t="s">
        <v>294</v>
      </c>
      <c r="C541" s="34" t="s">
        <v>295</v>
      </c>
      <c r="D541" s="29">
        <v>46113.552430555559</v>
      </c>
      <c r="E541" s="34" t="s">
        <v>287</v>
      </c>
      <c r="F541" t="b">
        <v>1</v>
      </c>
      <c r="G541" s="34" t="s">
        <v>578</v>
      </c>
      <c r="H541" t="b">
        <v>0</v>
      </c>
    </row>
    <row r="542" spans="1:8" x14ac:dyDescent="0.35">
      <c r="A542" s="34" t="s">
        <v>606</v>
      </c>
      <c r="B542" s="34" t="s">
        <v>294</v>
      </c>
      <c r="C542" s="34" t="s">
        <v>295</v>
      </c>
      <c r="D542" s="29">
        <v>46113.551296296297</v>
      </c>
      <c r="E542" s="34" t="s">
        <v>287</v>
      </c>
      <c r="F542" t="b">
        <v>1</v>
      </c>
      <c r="G542" s="34" t="s">
        <v>578</v>
      </c>
      <c r="H542" t="b">
        <v>0</v>
      </c>
    </row>
    <row r="543" spans="1:8" x14ac:dyDescent="0.35">
      <c r="A543" s="34" t="s">
        <v>299</v>
      </c>
      <c r="B543" s="34" t="s">
        <v>300</v>
      </c>
      <c r="C543" s="34" t="s">
        <v>301</v>
      </c>
      <c r="D543" s="29">
        <v>46113.27202546296</v>
      </c>
      <c r="E543" s="34" t="s">
        <v>287</v>
      </c>
      <c r="F543" t="b">
        <v>1</v>
      </c>
      <c r="G543" s="34" t="s">
        <v>302</v>
      </c>
      <c r="H543" t="b">
        <v>0</v>
      </c>
    </row>
    <row r="544" spans="1:8" x14ac:dyDescent="0.35">
      <c r="A544" s="34" t="s">
        <v>607</v>
      </c>
      <c r="B544" s="34" t="s">
        <v>294</v>
      </c>
      <c r="C544" s="34" t="s">
        <v>295</v>
      </c>
      <c r="D544" s="29">
        <v>46112.968865740739</v>
      </c>
      <c r="E544" s="34" t="s">
        <v>287</v>
      </c>
      <c r="F544" t="b">
        <v>1</v>
      </c>
      <c r="G544" s="34" t="s">
        <v>357</v>
      </c>
      <c r="H544" t="b">
        <v>0</v>
      </c>
    </row>
    <row r="545" spans="1:8" x14ac:dyDescent="0.35">
      <c r="A545" s="34" t="s">
        <v>595</v>
      </c>
      <c r="B545" s="34" t="s">
        <v>227</v>
      </c>
      <c r="C545" s="34" t="s">
        <v>291</v>
      </c>
      <c r="D545" s="29">
        <v>46112.684421296297</v>
      </c>
      <c r="E545" s="34" t="s">
        <v>287</v>
      </c>
      <c r="F545" t="b">
        <v>1</v>
      </c>
      <c r="G545" s="34" t="s">
        <v>290</v>
      </c>
      <c r="H545" t="b">
        <v>0</v>
      </c>
    </row>
    <row r="546" spans="1:8" x14ac:dyDescent="0.35">
      <c r="A546" s="34" t="s">
        <v>608</v>
      </c>
      <c r="B546" s="34" t="s">
        <v>297</v>
      </c>
      <c r="C546" s="34" t="s">
        <v>298</v>
      </c>
      <c r="D546" s="29">
        <v>46112.663807870369</v>
      </c>
      <c r="E546" s="34" t="s">
        <v>287</v>
      </c>
      <c r="F546" t="b">
        <v>1</v>
      </c>
      <c r="G546" s="34" t="s">
        <v>226</v>
      </c>
      <c r="H546" t="b">
        <v>0</v>
      </c>
    </row>
    <row r="547" spans="1:8" x14ac:dyDescent="0.35">
      <c r="A547" s="34" t="s">
        <v>299</v>
      </c>
      <c r="B547" s="34" t="s">
        <v>300</v>
      </c>
      <c r="C547" s="34" t="s">
        <v>301</v>
      </c>
      <c r="D547" s="29">
        <v>46112.657002314816</v>
      </c>
      <c r="E547" s="34" t="s">
        <v>287</v>
      </c>
      <c r="F547" t="b">
        <v>1</v>
      </c>
      <c r="G547" s="34" t="s">
        <v>302</v>
      </c>
      <c r="H547" t="b">
        <v>0</v>
      </c>
    </row>
    <row r="548" spans="1:8" x14ac:dyDescent="0.35">
      <c r="A548" s="34" t="s">
        <v>609</v>
      </c>
      <c r="B548" s="34" t="s">
        <v>294</v>
      </c>
      <c r="C548" s="34" t="s">
        <v>295</v>
      </c>
      <c r="D548" s="29">
        <v>46112.622800925928</v>
      </c>
      <c r="E548" s="34" t="s">
        <v>287</v>
      </c>
      <c r="F548" t="b">
        <v>1</v>
      </c>
      <c r="G548" s="34" t="s">
        <v>380</v>
      </c>
      <c r="H548" t="b">
        <v>0</v>
      </c>
    </row>
    <row r="549" spans="1:8" x14ac:dyDescent="0.35">
      <c r="A549" s="34" t="s">
        <v>610</v>
      </c>
      <c r="B549" s="34" t="s">
        <v>294</v>
      </c>
      <c r="C549" s="34" t="s">
        <v>295</v>
      </c>
      <c r="D549" s="29">
        <v>46112.484965277778</v>
      </c>
      <c r="E549" s="34" t="s">
        <v>287</v>
      </c>
      <c r="F549" t="b">
        <v>1</v>
      </c>
      <c r="G549" s="34" t="s">
        <v>578</v>
      </c>
      <c r="H549" t="b">
        <v>0</v>
      </c>
    </row>
    <row r="550" spans="1:8" x14ac:dyDescent="0.35">
      <c r="A550" s="34" t="s">
        <v>611</v>
      </c>
      <c r="B550" s="34" t="s">
        <v>294</v>
      </c>
      <c r="C550" s="34" t="s">
        <v>295</v>
      </c>
      <c r="D550" s="29">
        <v>46112.484872685185</v>
      </c>
      <c r="E550" s="34" t="s">
        <v>287</v>
      </c>
      <c r="F550" t="b">
        <v>1</v>
      </c>
      <c r="G550" s="34" t="s">
        <v>578</v>
      </c>
      <c r="H550" t="b">
        <v>0</v>
      </c>
    </row>
    <row r="551" spans="1:8" x14ac:dyDescent="0.35">
      <c r="A551" s="34" t="s">
        <v>612</v>
      </c>
      <c r="B551" s="34" t="s">
        <v>294</v>
      </c>
      <c r="C551" s="34" t="s">
        <v>295</v>
      </c>
      <c r="D551" s="29">
        <v>46112.484849537039</v>
      </c>
      <c r="E551" s="34" t="s">
        <v>287</v>
      </c>
      <c r="F551" t="b">
        <v>1</v>
      </c>
      <c r="G551" s="34" t="s">
        <v>578</v>
      </c>
      <c r="H551" t="b">
        <v>0</v>
      </c>
    </row>
    <row r="552" spans="1:8" x14ac:dyDescent="0.35">
      <c r="A552" s="34" t="s">
        <v>613</v>
      </c>
      <c r="B552" s="34" t="s">
        <v>294</v>
      </c>
      <c r="C552" s="34" t="s">
        <v>295</v>
      </c>
      <c r="D552" s="29">
        <v>46112.484826388885</v>
      </c>
      <c r="E552" s="34" t="s">
        <v>287</v>
      </c>
      <c r="F552" t="b">
        <v>1</v>
      </c>
      <c r="G552" s="34" t="s">
        <v>578</v>
      </c>
      <c r="H552" t="b">
        <v>0</v>
      </c>
    </row>
    <row r="553" spans="1:8" x14ac:dyDescent="0.35">
      <c r="A553" s="34" t="s">
        <v>299</v>
      </c>
      <c r="B553" s="34" t="s">
        <v>300</v>
      </c>
      <c r="C553" s="34" t="s">
        <v>301</v>
      </c>
      <c r="D553" s="29">
        <v>46112.271331018521</v>
      </c>
      <c r="E553" s="34" t="s">
        <v>287</v>
      </c>
      <c r="F553" t="b">
        <v>1</v>
      </c>
      <c r="G553" s="34" t="s">
        <v>302</v>
      </c>
      <c r="H553" t="b">
        <v>0</v>
      </c>
    </row>
    <row r="554" spans="1:8" x14ac:dyDescent="0.35">
      <c r="A554" s="34" t="s">
        <v>614</v>
      </c>
      <c r="B554" s="34" t="s">
        <v>294</v>
      </c>
      <c r="C554" s="34" t="s">
        <v>295</v>
      </c>
      <c r="D554" s="29">
        <v>46111.822962962964</v>
      </c>
      <c r="E554" s="34" t="s">
        <v>287</v>
      </c>
      <c r="F554" t="b">
        <v>1</v>
      </c>
      <c r="G554" s="34" t="s">
        <v>581</v>
      </c>
      <c r="H554" t="b">
        <v>0</v>
      </c>
    </row>
    <row r="555" spans="1:8" x14ac:dyDescent="0.35">
      <c r="A555" s="34" t="s">
        <v>615</v>
      </c>
      <c r="B555" s="34" t="s">
        <v>294</v>
      </c>
      <c r="C555" s="34" t="s">
        <v>295</v>
      </c>
      <c r="D555" s="29">
        <v>46111.624814814815</v>
      </c>
      <c r="E555" s="34" t="s">
        <v>287</v>
      </c>
      <c r="F555" t="b">
        <v>1</v>
      </c>
      <c r="G555" s="34" t="s">
        <v>296</v>
      </c>
      <c r="H555" t="b">
        <v>0</v>
      </c>
    </row>
    <row r="556" spans="1:8" x14ac:dyDescent="0.35">
      <c r="A556" s="34" t="s">
        <v>476</v>
      </c>
      <c r="B556" s="34" t="s">
        <v>328</v>
      </c>
      <c r="C556" s="34" t="s">
        <v>329</v>
      </c>
      <c r="D556" s="29">
        <v>46111.616805555554</v>
      </c>
      <c r="E556" s="34" t="s">
        <v>287</v>
      </c>
      <c r="F556" t="b">
        <v>1</v>
      </c>
      <c r="G556" s="34" t="s">
        <v>288</v>
      </c>
      <c r="H556" t="b">
        <v>0</v>
      </c>
    </row>
    <row r="557" spans="1:8" x14ac:dyDescent="0.35">
      <c r="A557" s="34" t="s">
        <v>616</v>
      </c>
      <c r="B557" s="34" t="s">
        <v>294</v>
      </c>
      <c r="C557" s="34" t="s">
        <v>295</v>
      </c>
      <c r="D557" s="29">
        <v>46111.600347222222</v>
      </c>
      <c r="E557" s="34" t="s">
        <v>287</v>
      </c>
      <c r="F557" t="b">
        <v>1</v>
      </c>
      <c r="G557" s="34" t="s">
        <v>380</v>
      </c>
      <c r="H557" t="b">
        <v>0</v>
      </c>
    </row>
    <row r="558" spans="1:8" x14ac:dyDescent="0.35">
      <c r="A558" s="34" t="s">
        <v>299</v>
      </c>
      <c r="B558" s="34" t="s">
        <v>300</v>
      </c>
      <c r="C558" s="34" t="s">
        <v>301</v>
      </c>
      <c r="D558" s="29">
        <v>46111.271087962959</v>
      </c>
      <c r="E558" s="34" t="s">
        <v>287</v>
      </c>
      <c r="F558" t="b">
        <v>1</v>
      </c>
      <c r="G558" s="34" t="s">
        <v>302</v>
      </c>
      <c r="H558" t="b">
        <v>0</v>
      </c>
    </row>
    <row r="559" spans="1:8" x14ac:dyDescent="0.35">
      <c r="A559" s="34" t="s">
        <v>299</v>
      </c>
      <c r="B559" s="34" t="s">
        <v>300</v>
      </c>
      <c r="C559" s="34" t="s">
        <v>301</v>
      </c>
      <c r="D559" s="29">
        <v>46110.271377314813</v>
      </c>
      <c r="E559" s="34" t="s">
        <v>287</v>
      </c>
      <c r="F559" t="b">
        <v>1</v>
      </c>
      <c r="G559" s="34" t="s">
        <v>302</v>
      </c>
      <c r="H559" t="b">
        <v>0</v>
      </c>
    </row>
    <row r="560" spans="1:8" x14ac:dyDescent="0.35">
      <c r="A560" s="34" t="s">
        <v>299</v>
      </c>
      <c r="B560" s="34" t="s">
        <v>300</v>
      </c>
      <c r="C560" s="34" t="s">
        <v>301</v>
      </c>
      <c r="D560" s="29">
        <v>46109.27107638889</v>
      </c>
      <c r="E560" s="34" t="s">
        <v>287</v>
      </c>
      <c r="F560" t="b">
        <v>1</v>
      </c>
      <c r="G560" s="34" t="s">
        <v>302</v>
      </c>
      <c r="H560" t="b">
        <v>0</v>
      </c>
    </row>
    <row r="561" spans="1:8" x14ac:dyDescent="0.35">
      <c r="A561" s="34" t="s">
        <v>442</v>
      </c>
      <c r="B561" s="34" t="s">
        <v>415</v>
      </c>
      <c r="C561" s="34" t="s">
        <v>416</v>
      </c>
      <c r="D561" s="29">
        <v>46108.89640046296</v>
      </c>
      <c r="E561" s="34" t="s">
        <v>287</v>
      </c>
      <c r="F561" t="b">
        <v>1</v>
      </c>
      <c r="G561" s="34" t="s">
        <v>288</v>
      </c>
      <c r="H561" t="b">
        <v>0</v>
      </c>
    </row>
    <row r="562" spans="1:8" x14ac:dyDescent="0.35">
      <c r="A562" s="34" t="s">
        <v>469</v>
      </c>
      <c r="B562" s="34" t="s">
        <v>417</v>
      </c>
      <c r="C562" s="34" t="s">
        <v>418</v>
      </c>
      <c r="D562" s="29">
        <v>46108.784849537034</v>
      </c>
      <c r="E562" s="34" t="s">
        <v>287</v>
      </c>
      <c r="F562" t="b">
        <v>1</v>
      </c>
      <c r="G562" s="34" t="s">
        <v>288</v>
      </c>
      <c r="H562" t="b">
        <v>0</v>
      </c>
    </row>
    <row r="563" spans="1:8" x14ac:dyDescent="0.35">
      <c r="A563" s="34" t="s">
        <v>441</v>
      </c>
      <c r="B563" s="34" t="s">
        <v>285</v>
      </c>
      <c r="C563" s="34" t="s">
        <v>286</v>
      </c>
      <c r="D563" s="29">
        <v>46108.717233796298</v>
      </c>
      <c r="E563" s="34" t="s">
        <v>287</v>
      </c>
      <c r="F563" t="b">
        <v>1</v>
      </c>
      <c r="G563" s="34" t="s">
        <v>222</v>
      </c>
      <c r="H563" t="b">
        <v>0</v>
      </c>
    </row>
    <row r="564" spans="1:8" x14ac:dyDescent="0.35">
      <c r="A564" s="34" t="s">
        <v>470</v>
      </c>
      <c r="B564" s="34" t="s">
        <v>294</v>
      </c>
      <c r="C564" s="34" t="s">
        <v>295</v>
      </c>
      <c r="D564" s="29">
        <v>46108.666319444441</v>
      </c>
      <c r="E564" s="34" t="s">
        <v>287</v>
      </c>
      <c r="F564" t="b">
        <v>1</v>
      </c>
      <c r="G564" s="34" t="s">
        <v>380</v>
      </c>
      <c r="H564" t="b">
        <v>0</v>
      </c>
    </row>
    <row r="565" spans="1:8" x14ac:dyDescent="0.35">
      <c r="A565" s="34" t="s">
        <v>471</v>
      </c>
      <c r="B565" s="34" t="s">
        <v>285</v>
      </c>
      <c r="C565" s="34" t="s">
        <v>286</v>
      </c>
      <c r="D565" s="29">
        <v>46108.544861111113</v>
      </c>
      <c r="E565" s="34" t="s">
        <v>287</v>
      </c>
      <c r="F565" t="b">
        <v>1</v>
      </c>
      <c r="G565" s="34" t="s">
        <v>226</v>
      </c>
      <c r="H565" t="b">
        <v>0</v>
      </c>
    </row>
    <row r="566" spans="1:8" x14ac:dyDescent="0.35">
      <c r="A566" s="34" t="s">
        <v>472</v>
      </c>
      <c r="B566" s="34" t="s">
        <v>315</v>
      </c>
      <c r="C566" s="34" t="s">
        <v>316</v>
      </c>
      <c r="D566" s="29">
        <v>46108.541631944441</v>
      </c>
      <c r="E566" s="34" t="s">
        <v>287</v>
      </c>
      <c r="F566" t="b">
        <v>1</v>
      </c>
      <c r="G566" s="34" t="s">
        <v>222</v>
      </c>
      <c r="H566" t="b">
        <v>0</v>
      </c>
    </row>
    <row r="567" spans="1:8" x14ac:dyDescent="0.35">
      <c r="A567" s="34" t="s">
        <v>471</v>
      </c>
      <c r="B567" s="34" t="s">
        <v>285</v>
      </c>
      <c r="C567" s="34" t="s">
        <v>286</v>
      </c>
      <c r="D567" s="29">
        <v>46108.481006944443</v>
      </c>
      <c r="E567" s="34" t="s">
        <v>287</v>
      </c>
      <c r="F567" t="b">
        <v>1</v>
      </c>
      <c r="G567" s="34" t="s">
        <v>222</v>
      </c>
      <c r="H567" t="b">
        <v>0</v>
      </c>
    </row>
    <row r="568" spans="1:8" x14ac:dyDescent="0.35">
      <c r="A568" s="34" t="s">
        <v>473</v>
      </c>
      <c r="B568" s="34" t="s">
        <v>315</v>
      </c>
      <c r="C568" s="34" t="s">
        <v>316</v>
      </c>
      <c r="D568" s="29">
        <v>46108.458912037036</v>
      </c>
      <c r="E568" s="34" t="s">
        <v>287</v>
      </c>
      <c r="F568" t="b">
        <v>1</v>
      </c>
      <c r="G568" s="34" t="s">
        <v>288</v>
      </c>
      <c r="H568" t="b">
        <v>0</v>
      </c>
    </row>
    <row r="569" spans="1:8" x14ac:dyDescent="0.35">
      <c r="A569" s="34" t="s">
        <v>473</v>
      </c>
      <c r="B569" s="34" t="s">
        <v>225</v>
      </c>
      <c r="C569" s="34" t="s">
        <v>353</v>
      </c>
      <c r="D569" s="29">
        <v>46108.426944444444</v>
      </c>
      <c r="E569" s="34" t="s">
        <v>287</v>
      </c>
      <c r="F569" t="b">
        <v>1</v>
      </c>
      <c r="G569" s="34" t="s">
        <v>288</v>
      </c>
      <c r="H569" t="b">
        <v>0</v>
      </c>
    </row>
    <row r="570" spans="1:8" x14ac:dyDescent="0.35">
      <c r="A570" s="34" t="s">
        <v>471</v>
      </c>
      <c r="B570" s="34" t="s">
        <v>285</v>
      </c>
      <c r="C570" s="34" t="s">
        <v>286</v>
      </c>
      <c r="D570" s="29">
        <v>46108.424363425926</v>
      </c>
      <c r="E570" s="34" t="s">
        <v>287</v>
      </c>
      <c r="F570" t="b">
        <v>1</v>
      </c>
      <c r="G570" s="34" t="s">
        <v>226</v>
      </c>
      <c r="H570" t="b">
        <v>0</v>
      </c>
    </row>
    <row r="571" spans="1:8" x14ac:dyDescent="0.35">
      <c r="A571" s="34" t="s">
        <v>299</v>
      </c>
      <c r="B571" s="34" t="s">
        <v>300</v>
      </c>
      <c r="C571" s="34" t="s">
        <v>301</v>
      </c>
      <c r="D571" s="29">
        <v>46108.271249999998</v>
      </c>
      <c r="E571" s="34" t="s">
        <v>287</v>
      </c>
      <c r="F571" t="b">
        <v>1</v>
      </c>
      <c r="G571" s="34" t="s">
        <v>302</v>
      </c>
      <c r="H571" t="b">
        <v>0</v>
      </c>
    </row>
    <row r="572" spans="1:8" x14ac:dyDescent="0.35">
      <c r="A572" s="34" t="s">
        <v>474</v>
      </c>
      <c r="B572" s="34" t="s">
        <v>294</v>
      </c>
      <c r="C572" s="34" t="s">
        <v>295</v>
      </c>
      <c r="D572" s="29">
        <v>46107.519999999997</v>
      </c>
      <c r="E572" s="34" t="s">
        <v>287</v>
      </c>
      <c r="F572" t="b">
        <v>1</v>
      </c>
      <c r="G572" s="34" t="s">
        <v>296</v>
      </c>
      <c r="H572" t="b">
        <v>0</v>
      </c>
    </row>
    <row r="573" spans="1:8" x14ac:dyDescent="0.35">
      <c r="A573" s="34" t="s">
        <v>352</v>
      </c>
      <c r="B573" s="34" t="s">
        <v>285</v>
      </c>
      <c r="C573" s="34" t="s">
        <v>286</v>
      </c>
      <c r="D573" s="29">
        <v>46107.507800925923</v>
      </c>
      <c r="E573" s="34" t="s">
        <v>287</v>
      </c>
      <c r="F573" t="b">
        <v>1</v>
      </c>
      <c r="G573" s="34" t="s">
        <v>288</v>
      </c>
      <c r="H573" t="b">
        <v>0</v>
      </c>
    </row>
    <row r="574" spans="1:8" x14ac:dyDescent="0.35">
      <c r="A574" s="34" t="s">
        <v>299</v>
      </c>
      <c r="B574" s="34" t="s">
        <v>300</v>
      </c>
      <c r="C574" s="34" t="s">
        <v>301</v>
      </c>
      <c r="D574" s="29">
        <v>46107.271273148152</v>
      </c>
      <c r="E574" s="34" t="s">
        <v>287</v>
      </c>
      <c r="F574" t="b">
        <v>1</v>
      </c>
      <c r="G574" s="34" t="s">
        <v>302</v>
      </c>
      <c r="H574" t="b">
        <v>0</v>
      </c>
    </row>
    <row r="575" spans="1:8" x14ac:dyDescent="0.35">
      <c r="A575" s="34" t="s">
        <v>471</v>
      </c>
      <c r="B575" s="34" t="s">
        <v>285</v>
      </c>
      <c r="C575" s="34" t="s">
        <v>286</v>
      </c>
      <c r="D575" s="29">
        <v>46106.860717592594</v>
      </c>
      <c r="E575" s="34" t="s">
        <v>287</v>
      </c>
      <c r="F575" t="b">
        <v>1</v>
      </c>
      <c r="G575" s="34" t="s">
        <v>226</v>
      </c>
      <c r="H575" t="b">
        <v>0</v>
      </c>
    </row>
    <row r="576" spans="1:8" x14ac:dyDescent="0.35">
      <c r="A576" s="34" t="s">
        <v>473</v>
      </c>
      <c r="B576" s="34" t="s">
        <v>324</v>
      </c>
      <c r="C576" s="34" t="s">
        <v>325</v>
      </c>
      <c r="D576" s="29">
        <v>46106.85423611111</v>
      </c>
      <c r="E576" s="34" t="s">
        <v>287</v>
      </c>
      <c r="F576" t="b">
        <v>1</v>
      </c>
      <c r="G576" s="34" t="s">
        <v>226</v>
      </c>
      <c r="H576" t="b">
        <v>1</v>
      </c>
    </row>
    <row r="577" spans="1:8" x14ac:dyDescent="0.35">
      <c r="A577" s="34" t="s">
        <v>475</v>
      </c>
      <c r="B577" s="34" t="s">
        <v>294</v>
      </c>
      <c r="C577" s="34" t="s">
        <v>295</v>
      </c>
      <c r="D577" s="29">
        <v>46106.784016203703</v>
      </c>
      <c r="E577" s="34" t="s">
        <v>287</v>
      </c>
      <c r="F577" t="b">
        <v>1</v>
      </c>
      <c r="G577" s="34" t="s">
        <v>413</v>
      </c>
      <c r="H577" t="b">
        <v>0</v>
      </c>
    </row>
    <row r="578" spans="1:8" x14ac:dyDescent="0.35">
      <c r="A578" s="34" t="s">
        <v>476</v>
      </c>
      <c r="B578" s="34" t="s">
        <v>328</v>
      </c>
      <c r="C578" s="34" t="s">
        <v>329</v>
      </c>
      <c r="D578" s="29">
        <v>46106.436562499999</v>
      </c>
      <c r="E578" s="34" t="s">
        <v>287</v>
      </c>
      <c r="F578" t="b">
        <v>1</v>
      </c>
      <c r="G578" s="34" t="s">
        <v>288</v>
      </c>
      <c r="H578" t="b">
        <v>0</v>
      </c>
    </row>
    <row r="579" spans="1:8" x14ac:dyDescent="0.35">
      <c r="A579" s="34" t="s">
        <v>471</v>
      </c>
      <c r="B579" s="34" t="s">
        <v>285</v>
      </c>
      <c r="C579" s="34" t="s">
        <v>286</v>
      </c>
      <c r="D579" s="29">
        <v>46106.434131944443</v>
      </c>
      <c r="E579" s="34" t="s">
        <v>287</v>
      </c>
      <c r="F579" t="b">
        <v>1</v>
      </c>
      <c r="G579" s="34" t="s">
        <v>226</v>
      </c>
      <c r="H579" t="b">
        <v>0</v>
      </c>
    </row>
    <row r="580" spans="1:8" x14ac:dyDescent="0.35">
      <c r="A580" s="34" t="s">
        <v>441</v>
      </c>
      <c r="B580" s="34" t="s">
        <v>285</v>
      </c>
      <c r="C580" s="34" t="s">
        <v>286</v>
      </c>
      <c r="D580" s="29">
        <v>46106.430578703701</v>
      </c>
      <c r="E580" s="34" t="s">
        <v>287</v>
      </c>
      <c r="F580" t="b">
        <v>1</v>
      </c>
      <c r="G580" s="34" t="s">
        <v>288</v>
      </c>
      <c r="H580" t="b">
        <v>0</v>
      </c>
    </row>
    <row r="581" spans="1:8" x14ac:dyDescent="0.35">
      <c r="A581" s="34" t="s">
        <v>299</v>
      </c>
      <c r="B581" s="34" t="s">
        <v>300</v>
      </c>
      <c r="C581" s="34" t="s">
        <v>301</v>
      </c>
      <c r="D581" s="29">
        <v>46106.271215277775</v>
      </c>
      <c r="E581" s="34" t="s">
        <v>287</v>
      </c>
      <c r="F581" t="b">
        <v>1</v>
      </c>
      <c r="G581" s="34" t="s">
        <v>302</v>
      </c>
      <c r="H581" t="b">
        <v>0</v>
      </c>
    </row>
    <row r="582" spans="1:8" x14ac:dyDescent="0.35">
      <c r="A582" s="34" t="s">
        <v>477</v>
      </c>
      <c r="B582" s="34" t="s">
        <v>294</v>
      </c>
      <c r="C582" s="34" t="s">
        <v>295</v>
      </c>
      <c r="D582" s="29">
        <v>46105.831979166665</v>
      </c>
      <c r="E582" s="34" t="s">
        <v>287</v>
      </c>
      <c r="F582" t="b">
        <v>1</v>
      </c>
      <c r="G582" s="34" t="s">
        <v>288</v>
      </c>
      <c r="H582" t="b">
        <v>0</v>
      </c>
    </row>
    <row r="583" spans="1:8" x14ac:dyDescent="0.35">
      <c r="A583" s="34" t="s">
        <v>473</v>
      </c>
      <c r="B583" s="34" t="s">
        <v>324</v>
      </c>
      <c r="C583" s="34" t="s">
        <v>325</v>
      </c>
      <c r="D583" s="29">
        <v>46105.722951388889</v>
      </c>
      <c r="E583" s="34" t="s">
        <v>287</v>
      </c>
      <c r="F583" t="b">
        <v>1</v>
      </c>
      <c r="G583" s="34" t="s">
        <v>288</v>
      </c>
      <c r="H583" t="b">
        <v>0</v>
      </c>
    </row>
    <row r="584" spans="1:8" x14ac:dyDescent="0.35">
      <c r="A584" s="34" t="s">
        <v>465</v>
      </c>
      <c r="B584" s="34" t="s">
        <v>297</v>
      </c>
      <c r="C584" s="34" t="s">
        <v>298</v>
      </c>
      <c r="D584" s="29">
        <v>46105.637731481482</v>
      </c>
      <c r="E584" s="34" t="s">
        <v>287</v>
      </c>
      <c r="F584" t="b">
        <v>1</v>
      </c>
      <c r="G584" s="34" t="s">
        <v>226</v>
      </c>
      <c r="H584" t="b">
        <v>0</v>
      </c>
    </row>
    <row r="585" spans="1:8" x14ac:dyDescent="0.35">
      <c r="A585" s="34" t="s">
        <v>466</v>
      </c>
      <c r="B585" s="34" t="s">
        <v>227</v>
      </c>
      <c r="C585" s="34" t="s">
        <v>291</v>
      </c>
      <c r="D585" s="29">
        <v>46105.609722222223</v>
      </c>
      <c r="E585" s="34" t="s">
        <v>287</v>
      </c>
      <c r="F585" t="b">
        <v>1</v>
      </c>
      <c r="G585" s="34" t="s">
        <v>226</v>
      </c>
      <c r="H585" t="b">
        <v>0</v>
      </c>
    </row>
    <row r="586" spans="1:8" x14ac:dyDescent="0.35">
      <c r="A586" s="34" t="s">
        <v>467</v>
      </c>
      <c r="B586" s="34" t="s">
        <v>297</v>
      </c>
      <c r="C586" s="34" t="s">
        <v>298</v>
      </c>
      <c r="D586" s="29">
        <v>46105.580555555556</v>
      </c>
      <c r="E586" s="34" t="s">
        <v>287</v>
      </c>
      <c r="F586" t="b">
        <v>1</v>
      </c>
      <c r="G586" s="34" t="s">
        <v>226</v>
      </c>
      <c r="H586" t="b">
        <v>0</v>
      </c>
    </row>
    <row r="587" spans="1:8" x14ac:dyDescent="0.35">
      <c r="A587" s="34" t="s">
        <v>303</v>
      </c>
      <c r="B587" s="34" t="s">
        <v>304</v>
      </c>
      <c r="C587" s="34" t="s">
        <v>305</v>
      </c>
      <c r="D587" s="29">
        <v>46105.579016203701</v>
      </c>
      <c r="E587" s="34" t="s">
        <v>287</v>
      </c>
      <c r="F587" t="b">
        <v>1</v>
      </c>
      <c r="G587" s="34" t="s">
        <v>288</v>
      </c>
      <c r="H587" t="b">
        <v>0</v>
      </c>
    </row>
    <row r="588" spans="1:8" x14ac:dyDescent="0.35">
      <c r="A588" s="34" t="s">
        <v>468</v>
      </c>
      <c r="B588" s="34" t="s">
        <v>294</v>
      </c>
      <c r="C588" s="34" t="s">
        <v>295</v>
      </c>
      <c r="D588" s="29">
        <v>46105.574479166666</v>
      </c>
      <c r="E588" s="34" t="s">
        <v>287</v>
      </c>
      <c r="F588" t="b">
        <v>1</v>
      </c>
      <c r="G588" s="34" t="s">
        <v>406</v>
      </c>
      <c r="H588" t="b">
        <v>0</v>
      </c>
    </row>
    <row r="589" spans="1:8" x14ac:dyDescent="0.35">
      <c r="A589" s="34" t="s">
        <v>299</v>
      </c>
      <c r="B589" s="34" t="s">
        <v>300</v>
      </c>
      <c r="C589" s="34" t="s">
        <v>301</v>
      </c>
      <c r="D589" s="29">
        <v>46105.271284722221</v>
      </c>
      <c r="E589" s="34" t="s">
        <v>287</v>
      </c>
      <c r="F589" t="b">
        <v>1</v>
      </c>
      <c r="G589" s="34" t="s">
        <v>302</v>
      </c>
      <c r="H589" t="b">
        <v>0</v>
      </c>
    </row>
    <row r="590" spans="1:8" x14ac:dyDescent="0.35">
      <c r="A590" s="34" t="s">
        <v>439</v>
      </c>
      <c r="B590" s="34" t="s">
        <v>294</v>
      </c>
      <c r="C590" s="34" t="s">
        <v>295</v>
      </c>
      <c r="D590" s="29">
        <v>46104.763136574074</v>
      </c>
      <c r="E590" s="34" t="s">
        <v>287</v>
      </c>
      <c r="F590" t="b">
        <v>1</v>
      </c>
      <c r="G590" s="34" t="s">
        <v>394</v>
      </c>
      <c r="H590" t="b">
        <v>0</v>
      </c>
    </row>
    <row r="591" spans="1:8" x14ac:dyDescent="0.35">
      <c r="A591" s="34" t="s">
        <v>440</v>
      </c>
      <c r="B591" s="34" t="s">
        <v>294</v>
      </c>
      <c r="C591" s="34" t="s">
        <v>295</v>
      </c>
      <c r="D591" s="29">
        <v>46104.7580787037</v>
      </c>
      <c r="E591" s="34" t="s">
        <v>287</v>
      </c>
      <c r="F591" t="b">
        <v>1</v>
      </c>
      <c r="G591" s="34" t="s">
        <v>356</v>
      </c>
      <c r="H591" t="b">
        <v>0</v>
      </c>
    </row>
    <row r="592" spans="1:8" x14ac:dyDescent="0.35">
      <c r="A592" s="34" t="s">
        <v>441</v>
      </c>
      <c r="B592" s="34" t="s">
        <v>285</v>
      </c>
      <c r="C592" s="34" t="s">
        <v>286</v>
      </c>
      <c r="D592" s="29">
        <v>46104.68577546296</v>
      </c>
      <c r="E592" s="34" t="s">
        <v>287</v>
      </c>
      <c r="F592" t="b">
        <v>1</v>
      </c>
      <c r="G592" s="34" t="s">
        <v>226</v>
      </c>
      <c r="H592" t="b">
        <v>0</v>
      </c>
    </row>
    <row r="593" spans="1:8" x14ac:dyDescent="0.35">
      <c r="A593" s="34" t="s">
        <v>442</v>
      </c>
      <c r="B593" s="34" t="s">
        <v>285</v>
      </c>
      <c r="C593" s="34" t="s">
        <v>286</v>
      </c>
      <c r="D593" s="29">
        <v>46104.625694444447</v>
      </c>
      <c r="E593" s="34" t="s">
        <v>287</v>
      </c>
      <c r="F593" t="b">
        <v>1</v>
      </c>
      <c r="G593" s="34" t="s">
        <v>222</v>
      </c>
      <c r="H593" t="b">
        <v>0</v>
      </c>
    </row>
    <row r="594" spans="1:8" x14ac:dyDescent="0.35">
      <c r="A594" s="34" t="s">
        <v>327</v>
      </c>
      <c r="B594" s="34" t="s">
        <v>328</v>
      </c>
      <c r="C594" s="34" t="s">
        <v>329</v>
      </c>
      <c r="D594" s="29">
        <v>46104.582060185188</v>
      </c>
      <c r="E594" s="34" t="s">
        <v>287</v>
      </c>
      <c r="F594" t="b">
        <v>1</v>
      </c>
      <c r="G594" s="34" t="s">
        <v>222</v>
      </c>
      <c r="H594" t="b">
        <v>0</v>
      </c>
    </row>
    <row r="595" spans="1:8" x14ac:dyDescent="0.35">
      <c r="A595" s="34" t="s">
        <v>443</v>
      </c>
      <c r="B595" s="34" t="s">
        <v>294</v>
      </c>
      <c r="C595" s="34" t="s">
        <v>295</v>
      </c>
      <c r="D595" s="29">
        <v>46104.557083333333</v>
      </c>
      <c r="E595" s="34" t="s">
        <v>287</v>
      </c>
      <c r="F595" t="b">
        <v>1</v>
      </c>
      <c r="G595" s="34" t="s">
        <v>404</v>
      </c>
      <c r="H595" t="b">
        <v>0</v>
      </c>
    </row>
    <row r="596" spans="1:8" x14ac:dyDescent="0.35">
      <c r="A596" s="34" t="s">
        <v>444</v>
      </c>
      <c r="B596" s="34" t="s">
        <v>294</v>
      </c>
      <c r="C596" s="34" t="s">
        <v>295</v>
      </c>
      <c r="D596" s="29">
        <v>46104.548194444447</v>
      </c>
      <c r="E596" s="34" t="s">
        <v>287</v>
      </c>
      <c r="F596" t="b">
        <v>1</v>
      </c>
      <c r="G596" s="34" t="s">
        <v>404</v>
      </c>
      <c r="H596" t="b">
        <v>0</v>
      </c>
    </row>
    <row r="597" spans="1:8" x14ac:dyDescent="0.35">
      <c r="A597" s="34" t="s">
        <v>445</v>
      </c>
      <c r="B597" s="34" t="s">
        <v>324</v>
      </c>
      <c r="C597" s="34" t="s">
        <v>325</v>
      </c>
      <c r="D597" s="29">
        <v>46104.492407407408</v>
      </c>
      <c r="E597" s="34" t="s">
        <v>287</v>
      </c>
      <c r="F597" t="b">
        <v>1</v>
      </c>
      <c r="G597" s="34" t="s">
        <v>288</v>
      </c>
      <c r="H597" t="b">
        <v>0</v>
      </c>
    </row>
    <row r="598" spans="1:8" x14ac:dyDescent="0.35">
      <c r="A598" s="34" t="s">
        <v>446</v>
      </c>
      <c r="B598" s="34" t="s">
        <v>336</v>
      </c>
      <c r="C598" s="34" t="s">
        <v>337</v>
      </c>
      <c r="D598" s="29">
        <v>46104.388495370367</v>
      </c>
      <c r="E598" s="34" t="s">
        <v>287</v>
      </c>
      <c r="F598" t="b">
        <v>1</v>
      </c>
      <c r="G598" s="34" t="s">
        <v>222</v>
      </c>
      <c r="H598" t="b">
        <v>0</v>
      </c>
    </row>
    <row r="599" spans="1:8" x14ac:dyDescent="0.35">
      <c r="A599" s="34" t="s">
        <v>299</v>
      </c>
      <c r="B599" s="34" t="s">
        <v>300</v>
      </c>
      <c r="C599" s="34" t="s">
        <v>301</v>
      </c>
      <c r="D599" s="29">
        <v>46104.271249999998</v>
      </c>
      <c r="E599" s="34" t="s">
        <v>287</v>
      </c>
      <c r="F599" t="b">
        <v>1</v>
      </c>
      <c r="G599" s="34" t="s">
        <v>302</v>
      </c>
      <c r="H599" t="b">
        <v>0</v>
      </c>
    </row>
    <row r="600" spans="1:8" x14ac:dyDescent="0.35">
      <c r="A600" s="34" t="s">
        <v>299</v>
      </c>
      <c r="B600" s="34" t="s">
        <v>300</v>
      </c>
      <c r="C600" s="34" t="s">
        <v>301</v>
      </c>
      <c r="D600" s="29">
        <v>46103.270937499998</v>
      </c>
      <c r="E600" s="34" t="s">
        <v>287</v>
      </c>
      <c r="F600" t="b">
        <v>1</v>
      </c>
      <c r="G600" s="34" t="s">
        <v>302</v>
      </c>
      <c r="H600" t="b">
        <v>0</v>
      </c>
    </row>
    <row r="601" spans="1:8" x14ac:dyDescent="0.35">
      <c r="A601" s="34" t="s">
        <v>447</v>
      </c>
      <c r="B601" s="34" t="s">
        <v>339</v>
      </c>
      <c r="C601" s="34" t="s">
        <v>340</v>
      </c>
      <c r="D601" s="29">
        <v>46102.610381944447</v>
      </c>
      <c r="E601" s="34" t="s">
        <v>292</v>
      </c>
      <c r="F601" t="b">
        <v>1</v>
      </c>
      <c r="G601" s="34" t="s">
        <v>222</v>
      </c>
      <c r="H601" t="b">
        <v>0</v>
      </c>
    </row>
    <row r="602" spans="1:8" x14ac:dyDescent="0.35">
      <c r="A602" s="34" t="s">
        <v>299</v>
      </c>
      <c r="B602" s="34" t="s">
        <v>300</v>
      </c>
      <c r="C602" s="34" t="s">
        <v>301</v>
      </c>
      <c r="D602" s="29">
        <v>46102.271226851852</v>
      </c>
      <c r="E602" s="34" t="s">
        <v>287</v>
      </c>
      <c r="F602" t="b">
        <v>1</v>
      </c>
      <c r="G602" s="34" t="s">
        <v>302</v>
      </c>
      <c r="H602" t="b">
        <v>0</v>
      </c>
    </row>
    <row r="603" spans="1:8" x14ac:dyDescent="0.35">
      <c r="A603" s="34" t="s">
        <v>448</v>
      </c>
      <c r="B603" s="34" t="s">
        <v>294</v>
      </c>
      <c r="C603" s="34" t="s">
        <v>295</v>
      </c>
      <c r="D603" s="29">
        <v>46102.206261574072</v>
      </c>
      <c r="E603" s="34" t="s">
        <v>287</v>
      </c>
      <c r="F603" t="b">
        <v>1</v>
      </c>
      <c r="G603" s="34" t="s">
        <v>396</v>
      </c>
      <c r="H603" t="b">
        <v>0</v>
      </c>
    </row>
    <row r="604" spans="1:8" x14ac:dyDescent="0.35">
      <c r="A604" s="34" t="s">
        <v>449</v>
      </c>
      <c r="B604" s="34" t="s">
        <v>294</v>
      </c>
      <c r="C604" s="34" t="s">
        <v>295</v>
      </c>
      <c r="D604" s="29">
        <v>46102.206261574072</v>
      </c>
      <c r="E604" s="34" t="s">
        <v>287</v>
      </c>
      <c r="F604" t="b">
        <v>1</v>
      </c>
      <c r="G604" s="34" t="s">
        <v>396</v>
      </c>
      <c r="H604" t="b">
        <v>0</v>
      </c>
    </row>
    <row r="605" spans="1:8" x14ac:dyDescent="0.35">
      <c r="A605" s="34" t="s">
        <v>303</v>
      </c>
      <c r="B605" s="34" t="s">
        <v>304</v>
      </c>
      <c r="C605" s="34" t="s">
        <v>305</v>
      </c>
      <c r="D605" s="29">
        <v>46101.969259259262</v>
      </c>
      <c r="E605" s="34" t="s">
        <v>287</v>
      </c>
      <c r="F605" t="b">
        <v>1</v>
      </c>
      <c r="G605" s="34" t="s">
        <v>288</v>
      </c>
      <c r="H605" t="b">
        <v>0</v>
      </c>
    </row>
    <row r="606" spans="1:8" x14ac:dyDescent="0.35">
      <c r="A606" s="34" t="s">
        <v>450</v>
      </c>
      <c r="B606" s="34" t="s">
        <v>294</v>
      </c>
      <c r="C606" s="34" t="s">
        <v>295</v>
      </c>
      <c r="D606" s="29">
        <v>46101.625138888892</v>
      </c>
      <c r="E606" s="34" t="s">
        <v>287</v>
      </c>
      <c r="F606" t="b">
        <v>1</v>
      </c>
      <c r="G606" s="34" t="s">
        <v>404</v>
      </c>
      <c r="H606" t="b">
        <v>0</v>
      </c>
    </row>
    <row r="607" spans="1:8" x14ac:dyDescent="0.35">
      <c r="A607" s="34" t="s">
        <v>451</v>
      </c>
      <c r="B607" s="34" t="s">
        <v>294</v>
      </c>
      <c r="C607" s="34" t="s">
        <v>295</v>
      </c>
      <c r="D607" s="29">
        <v>46101.624467592592</v>
      </c>
      <c r="E607" s="34" t="s">
        <v>287</v>
      </c>
      <c r="F607" t="b">
        <v>1</v>
      </c>
      <c r="G607" s="34" t="s">
        <v>404</v>
      </c>
      <c r="H607" t="b">
        <v>0</v>
      </c>
    </row>
    <row r="608" spans="1:8" x14ac:dyDescent="0.35">
      <c r="A608" s="34" t="s">
        <v>452</v>
      </c>
      <c r="B608" s="34" t="s">
        <v>294</v>
      </c>
      <c r="C608" s="34" t="s">
        <v>295</v>
      </c>
      <c r="D608" s="29">
        <v>46101.623749999999</v>
      </c>
      <c r="E608" s="34" t="s">
        <v>287</v>
      </c>
      <c r="F608" t="b">
        <v>1</v>
      </c>
      <c r="G608" s="34" t="s">
        <v>404</v>
      </c>
      <c r="H608" t="b">
        <v>0</v>
      </c>
    </row>
    <row r="609" spans="1:8" x14ac:dyDescent="0.35">
      <c r="A609" s="34" t="s">
        <v>453</v>
      </c>
      <c r="B609" s="34" t="s">
        <v>294</v>
      </c>
      <c r="C609" s="34" t="s">
        <v>295</v>
      </c>
      <c r="D609" s="29">
        <v>46101.623611111114</v>
      </c>
      <c r="E609" s="34" t="s">
        <v>287</v>
      </c>
      <c r="F609" t="b">
        <v>1</v>
      </c>
      <c r="G609" s="34" t="s">
        <v>404</v>
      </c>
      <c r="H609" t="b">
        <v>0</v>
      </c>
    </row>
    <row r="610" spans="1:8" x14ac:dyDescent="0.35">
      <c r="A610" s="34" t="s">
        <v>454</v>
      </c>
      <c r="B610" s="34" t="s">
        <v>294</v>
      </c>
      <c r="C610" s="34" t="s">
        <v>295</v>
      </c>
      <c r="D610" s="29">
        <v>46101.622754629629</v>
      </c>
      <c r="E610" s="34" t="s">
        <v>287</v>
      </c>
      <c r="F610" t="b">
        <v>1</v>
      </c>
      <c r="G610" s="34" t="s">
        <v>404</v>
      </c>
      <c r="H610" t="b">
        <v>0</v>
      </c>
    </row>
    <row r="611" spans="1:8" x14ac:dyDescent="0.35">
      <c r="A611" s="34" t="s">
        <v>455</v>
      </c>
      <c r="B611" s="34" t="s">
        <v>294</v>
      </c>
      <c r="C611" s="34" t="s">
        <v>295</v>
      </c>
      <c r="D611" s="29">
        <v>46101.547685185185</v>
      </c>
      <c r="E611" s="34" t="s">
        <v>287</v>
      </c>
      <c r="F611" t="b">
        <v>1</v>
      </c>
      <c r="G611" s="34" t="s">
        <v>380</v>
      </c>
      <c r="H611" t="b">
        <v>0</v>
      </c>
    </row>
    <row r="612" spans="1:8" x14ac:dyDescent="0.35">
      <c r="A612" s="34" t="s">
        <v>456</v>
      </c>
      <c r="B612" s="34" t="s">
        <v>294</v>
      </c>
      <c r="C612" s="34" t="s">
        <v>295</v>
      </c>
      <c r="D612" s="29">
        <v>46101.488692129627</v>
      </c>
      <c r="E612" s="34" t="s">
        <v>287</v>
      </c>
      <c r="F612" t="b">
        <v>1</v>
      </c>
      <c r="G612" s="34" t="s">
        <v>288</v>
      </c>
      <c r="H612" t="b">
        <v>0</v>
      </c>
    </row>
    <row r="613" spans="1:8" x14ac:dyDescent="0.35">
      <c r="A613" s="34" t="s">
        <v>457</v>
      </c>
      <c r="B613" s="34" t="s">
        <v>294</v>
      </c>
      <c r="C613" s="34" t="s">
        <v>295</v>
      </c>
      <c r="D613" s="29">
        <v>46101.465277777781</v>
      </c>
      <c r="E613" s="34" t="s">
        <v>287</v>
      </c>
      <c r="F613" t="b">
        <v>1</v>
      </c>
      <c r="G613" s="34" t="s">
        <v>380</v>
      </c>
      <c r="H613" t="b">
        <v>0</v>
      </c>
    </row>
    <row r="614" spans="1:8" x14ac:dyDescent="0.35">
      <c r="A614" s="34" t="s">
        <v>299</v>
      </c>
      <c r="B614" s="34" t="s">
        <v>300</v>
      </c>
      <c r="C614" s="34" t="s">
        <v>301</v>
      </c>
      <c r="D614" s="29">
        <v>46101.271145833336</v>
      </c>
      <c r="E614" s="34" t="s">
        <v>287</v>
      </c>
      <c r="F614" t="b">
        <v>1</v>
      </c>
      <c r="G614" s="34" t="s">
        <v>302</v>
      </c>
      <c r="H614" t="b">
        <v>0</v>
      </c>
    </row>
    <row r="615" spans="1:8" x14ac:dyDescent="0.35">
      <c r="A615" s="34" t="s">
        <v>458</v>
      </c>
      <c r="B615" s="34" t="s">
        <v>294</v>
      </c>
      <c r="C615" s="34" t="s">
        <v>295</v>
      </c>
      <c r="D615" s="29">
        <v>46100.830277777779</v>
      </c>
      <c r="E615" s="34" t="s">
        <v>287</v>
      </c>
      <c r="F615" t="b">
        <v>1</v>
      </c>
      <c r="G615" s="34" t="s">
        <v>413</v>
      </c>
      <c r="H615" t="b">
        <v>0</v>
      </c>
    </row>
    <row r="616" spans="1:8" x14ac:dyDescent="0.35">
      <c r="A616" s="34" t="s">
        <v>459</v>
      </c>
      <c r="B616" s="34" t="s">
        <v>294</v>
      </c>
      <c r="C616" s="34" t="s">
        <v>295</v>
      </c>
      <c r="D616" s="29">
        <v>46100.8203125</v>
      </c>
      <c r="E616" s="34" t="s">
        <v>287</v>
      </c>
      <c r="F616" t="b">
        <v>1</v>
      </c>
      <c r="G616" s="34" t="s">
        <v>460</v>
      </c>
      <c r="H616" t="b">
        <v>0</v>
      </c>
    </row>
    <row r="617" spans="1:8" x14ac:dyDescent="0.35">
      <c r="A617" s="34" t="s">
        <v>461</v>
      </c>
      <c r="B617" s="34" t="s">
        <v>294</v>
      </c>
      <c r="C617" s="34" t="s">
        <v>295</v>
      </c>
      <c r="D617" s="29">
        <v>46100.815659722219</v>
      </c>
      <c r="E617" s="34" t="s">
        <v>287</v>
      </c>
      <c r="F617" t="b">
        <v>1</v>
      </c>
      <c r="G617" s="34" t="s">
        <v>223</v>
      </c>
      <c r="H617" t="b">
        <v>0</v>
      </c>
    </row>
    <row r="618" spans="1:8" x14ac:dyDescent="0.35">
      <c r="A618" s="34" t="s">
        <v>462</v>
      </c>
      <c r="B618" s="34" t="s">
        <v>294</v>
      </c>
      <c r="C618" s="34" t="s">
        <v>295</v>
      </c>
      <c r="D618" s="29">
        <v>46100.512094907404</v>
      </c>
      <c r="E618" s="34" t="s">
        <v>287</v>
      </c>
      <c r="F618" t="b">
        <v>1</v>
      </c>
      <c r="G618" s="34" t="s">
        <v>380</v>
      </c>
      <c r="H618" t="b">
        <v>0</v>
      </c>
    </row>
    <row r="619" spans="1:8" x14ac:dyDescent="0.35">
      <c r="A619" s="34" t="s">
        <v>326</v>
      </c>
      <c r="B619" s="34" t="s">
        <v>227</v>
      </c>
      <c r="C619" s="34" t="s">
        <v>291</v>
      </c>
      <c r="D619" s="29">
        <v>46100.482129629629</v>
      </c>
      <c r="E619" s="34" t="s">
        <v>287</v>
      </c>
      <c r="F619" t="b">
        <v>1</v>
      </c>
      <c r="G619" s="34" t="s">
        <v>288</v>
      </c>
      <c r="H619" t="b">
        <v>0</v>
      </c>
    </row>
    <row r="620" spans="1:8" x14ac:dyDescent="0.35">
      <c r="A620" s="34" t="s">
        <v>299</v>
      </c>
      <c r="B620" s="34" t="s">
        <v>300</v>
      </c>
      <c r="C620" s="34" t="s">
        <v>301</v>
      </c>
      <c r="D620" s="29">
        <v>46100.271666666667</v>
      </c>
      <c r="E620" s="34" t="s">
        <v>287</v>
      </c>
      <c r="F620" t="b">
        <v>1</v>
      </c>
      <c r="G620" s="34" t="s">
        <v>302</v>
      </c>
      <c r="H620" t="b">
        <v>0</v>
      </c>
    </row>
    <row r="621" spans="1:8" x14ac:dyDescent="0.35">
      <c r="A621" s="34" t="s">
        <v>348</v>
      </c>
      <c r="B621" s="34" t="s">
        <v>285</v>
      </c>
      <c r="C621" s="34" t="s">
        <v>286</v>
      </c>
      <c r="D621" s="29">
        <v>46100.046099537038</v>
      </c>
      <c r="E621" s="34" t="s">
        <v>287</v>
      </c>
      <c r="F621" t="b">
        <v>1</v>
      </c>
      <c r="G621" s="34" t="s">
        <v>226</v>
      </c>
      <c r="H621" t="b">
        <v>0</v>
      </c>
    </row>
    <row r="622" spans="1:8" x14ac:dyDescent="0.35">
      <c r="A622" s="34" t="s">
        <v>326</v>
      </c>
      <c r="B622" s="34" t="s">
        <v>285</v>
      </c>
      <c r="C622" s="34" t="s">
        <v>286</v>
      </c>
      <c r="D622" s="29">
        <v>46100.043078703704</v>
      </c>
      <c r="E622" s="34" t="s">
        <v>287</v>
      </c>
      <c r="F622" t="b">
        <v>1</v>
      </c>
      <c r="G622" s="34" t="s">
        <v>463</v>
      </c>
      <c r="H622" t="b">
        <v>0</v>
      </c>
    </row>
    <row r="623" spans="1:8" x14ac:dyDescent="0.35">
      <c r="A623" s="34" t="s">
        <v>348</v>
      </c>
      <c r="B623" s="34" t="s">
        <v>415</v>
      </c>
      <c r="C623" s="34" t="s">
        <v>416</v>
      </c>
      <c r="D623" s="29">
        <v>46099.928020833337</v>
      </c>
      <c r="E623" s="34" t="s">
        <v>287</v>
      </c>
      <c r="F623" t="b">
        <v>1</v>
      </c>
      <c r="G623" s="34" t="s">
        <v>226</v>
      </c>
      <c r="H623" t="b">
        <v>0</v>
      </c>
    </row>
    <row r="624" spans="1:8" x14ac:dyDescent="0.35">
      <c r="A624" s="34" t="s">
        <v>326</v>
      </c>
      <c r="B624" s="34" t="s">
        <v>86</v>
      </c>
      <c r="C624" s="34" t="s">
        <v>338</v>
      </c>
      <c r="D624" s="29">
        <v>46099.837708333333</v>
      </c>
      <c r="E624" s="34" t="s">
        <v>287</v>
      </c>
      <c r="F624" t="b">
        <v>1</v>
      </c>
      <c r="G624" s="34" t="s">
        <v>226</v>
      </c>
      <c r="H624" t="b">
        <v>0</v>
      </c>
    </row>
    <row r="625" spans="1:8" x14ac:dyDescent="0.35">
      <c r="A625" s="34" t="s">
        <v>326</v>
      </c>
      <c r="B625" s="34" t="s">
        <v>227</v>
      </c>
      <c r="C625" s="34" t="s">
        <v>291</v>
      </c>
      <c r="D625" s="29">
        <v>46099.74150462963</v>
      </c>
      <c r="E625" s="34" t="s">
        <v>292</v>
      </c>
      <c r="F625" t="b">
        <v>1</v>
      </c>
      <c r="G625" s="34" t="s">
        <v>226</v>
      </c>
      <c r="H625" t="b">
        <v>0</v>
      </c>
    </row>
    <row r="626" spans="1:8" x14ac:dyDescent="0.35">
      <c r="A626" s="34" t="s">
        <v>464</v>
      </c>
      <c r="B626" s="34" t="s">
        <v>294</v>
      </c>
      <c r="C626" s="34" t="s">
        <v>295</v>
      </c>
      <c r="D626" s="29">
        <v>46099.700659722221</v>
      </c>
      <c r="E626" s="34" t="s">
        <v>287</v>
      </c>
      <c r="F626" t="b">
        <v>1</v>
      </c>
      <c r="G626" s="34" t="s">
        <v>288</v>
      </c>
      <c r="H626" t="b">
        <v>0</v>
      </c>
    </row>
    <row r="627" spans="1:8" x14ac:dyDescent="0.35">
      <c r="A627" s="34" t="s">
        <v>284</v>
      </c>
      <c r="B627" s="34" t="s">
        <v>285</v>
      </c>
      <c r="C627" s="34" t="s">
        <v>286</v>
      </c>
      <c r="D627" s="29">
        <v>46099.643773148149</v>
      </c>
      <c r="E627" s="34" t="s">
        <v>287</v>
      </c>
      <c r="F627" t="b">
        <v>1</v>
      </c>
      <c r="G627" s="34" t="s">
        <v>288</v>
      </c>
      <c r="H627" t="b">
        <v>0</v>
      </c>
    </row>
    <row r="628" spans="1:8" x14ac:dyDescent="0.35">
      <c r="A628" s="34" t="s">
        <v>289</v>
      </c>
      <c r="B628" s="34" t="s">
        <v>285</v>
      </c>
      <c r="C628" s="34" t="s">
        <v>286</v>
      </c>
      <c r="D628" s="29">
        <v>46099.613287037035</v>
      </c>
      <c r="E628" s="34" t="s">
        <v>287</v>
      </c>
      <c r="F628" t="b">
        <v>1</v>
      </c>
      <c r="G628" s="34" t="s">
        <v>290</v>
      </c>
      <c r="H628" t="b">
        <v>0</v>
      </c>
    </row>
    <row r="629" spans="1:8" x14ac:dyDescent="0.35">
      <c r="A629" s="34" t="s">
        <v>284</v>
      </c>
      <c r="B629" s="34" t="s">
        <v>227</v>
      </c>
      <c r="C629" s="34" t="s">
        <v>291</v>
      </c>
      <c r="D629" s="29">
        <v>46099.584664351853</v>
      </c>
      <c r="E629" s="34" t="s">
        <v>292</v>
      </c>
      <c r="F629" t="b">
        <v>1</v>
      </c>
      <c r="G629" s="34" t="s">
        <v>222</v>
      </c>
      <c r="H629" t="b">
        <v>0</v>
      </c>
    </row>
    <row r="630" spans="1:8" x14ac:dyDescent="0.35">
      <c r="A630" s="34" t="s">
        <v>293</v>
      </c>
      <c r="B630" s="34" t="s">
        <v>294</v>
      </c>
      <c r="C630" s="34" t="s">
        <v>295</v>
      </c>
      <c r="D630" s="29">
        <v>46099.491828703707</v>
      </c>
      <c r="E630" s="34" t="s">
        <v>287</v>
      </c>
      <c r="F630" t="b">
        <v>1</v>
      </c>
      <c r="G630" s="34" t="s">
        <v>296</v>
      </c>
      <c r="H630" t="b">
        <v>0</v>
      </c>
    </row>
    <row r="631" spans="1:8" x14ac:dyDescent="0.35">
      <c r="A631" s="34" t="s">
        <v>284</v>
      </c>
      <c r="B631" s="34" t="s">
        <v>297</v>
      </c>
      <c r="C631" s="34" t="s">
        <v>298</v>
      </c>
      <c r="D631" s="29">
        <v>46099.313703703701</v>
      </c>
      <c r="E631" s="34" t="s">
        <v>287</v>
      </c>
      <c r="F631" t="b">
        <v>1</v>
      </c>
      <c r="G631" s="34" t="s">
        <v>288</v>
      </c>
      <c r="H631" t="b">
        <v>1</v>
      </c>
    </row>
    <row r="632" spans="1:8" x14ac:dyDescent="0.35">
      <c r="A632" s="34" t="s">
        <v>299</v>
      </c>
      <c r="B632" s="34" t="s">
        <v>300</v>
      </c>
      <c r="C632" s="34" t="s">
        <v>301</v>
      </c>
      <c r="D632" s="29">
        <v>46099.27144675926</v>
      </c>
      <c r="E632" s="34" t="s">
        <v>287</v>
      </c>
      <c r="F632" t="b">
        <v>1</v>
      </c>
      <c r="G632" s="34" t="s">
        <v>302</v>
      </c>
      <c r="H632" t="b">
        <v>0</v>
      </c>
    </row>
    <row r="633" spans="1:8" x14ac:dyDescent="0.35">
      <c r="A633" s="34" t="s">
        <v>303</v>
      </c>
      <c r="B633" s="34" t="s">
        <v>304</v>
      </c>
      <c r="C633" s="34" t="s">
        <v>305</v>
      </c>
      <c r="D633" s="29">
        <v>46098.924062500002</v>
      </c>
      <c r="E633" s="34" t="s">
        <v>287</v>
      </c>
      <c r="F633" t="b">
        <v>1</v>
      </c>
      <c r="G633" s="34" t="s">
        <v>288</v>
      </c>
      <c r="H633" t="b">
        <v>0</v>
      </c>
    </row>
    <row r="634" spans="1:8" x14ac:dyDescent="0.35">
      <c r="A634" s="34" t="s">
        <v>306</v>
      </c>
      <c r="B634" s="34" t="s">
        <v>307</v>
      </c>
      <c r="C634" s="34" t="s">
        <v>308</v>
      </c>
      <c r="D634" s="29">
        <v>46098.907268518517</v>
      </c>
      <c r="E634" s="34" t="s">
        <v>287</v>
      </c>
      <c r="F634" t="b">
        <v>1</v>
      </c>
      <c r="G634" s="34" t="s">
        <v>222</v>
      </c>
      <c r="H634" t="b">
        <v>0</v>
      </c>
    </row>
    <row r="635" spans="1:8" x14ac:dyDescent="0.35">
      <c r="A635" s="34" t="s">
        <v>309</v>
      </c>
      <c r="B635" s="34" t="s">
        <v>310</v>
      </c>
      <c r="C635" s="34" t="s">
        <v>311</v>
      </c>
      <c r="D635" s="29">
        <v>46098.883645833332</v>
      </c>
      <c r="E635" s="34" t="s">
        <v>287</v>
      </c>
      <c r="F635" t="b">
        <v>1</v>
      </c>
      <c r="G635" s="34" t="s">
        <v>288</v>
      </c>
      <c r="H635" t="b">
        <v>1</v>
      </c>
    </row>
    <row r="636" spans="1:8" x14ac:dyDescent="0.35">
      <c r="A636" s="34" t="s">
        <v>293</v>
      </c>
      <c r="B636" s="34" t="s">
        <v>294</v>
      </c>
      <c r="C636" s="34" t="s">
        <v>295</v>
      </c>
      <c r="D636" s="29">
        <v>46098.84138888889</v>
      </c>
      <c r="E636" s="34" t="s">
        <v>287</v>
      </c>
      <c r="F636" t="b">
        <v>1</v>
      </c>
      <c r="G636" s="34" t="s">
        <v>312</v>
      </c>
      <c r="H636" t="b">
        <v>0</v>
      </c>
    </row>
    <row r="637" spans="1:8" x14ac:dyDescent="0.35">
      <c r="A637" s="34" t="s">
        <v>313</v>
      </c>
      <c r="B637" s="34" t="s">
        <v>285</v>
      </c>
      <c r="C637" s="34" t="s">
        <v>286</v>
      </c>
      <c r="D637" s="29">
        <v>46098.59752314815</v>
      </c>
      <c r="E637" s="34" t="s">
        <v>287</v>
      </c>
      <c r="F637" t="b">
        <v>1</v>
      </c>
      <c r="G637" s="34" t="s">
        <v>288</v>
      </c>
      <c r="H637" t="b">
        <v>0</v>
      </c>
    </row>
    <row r="638" spans="1:8" x14ac:dyDescent="0.35">
      <c r="A638" s="34" t="s">
        <v>314</v>
      </c>
      <c r="B638" s="34" t="s">
        <v>315</v>
      </c>
      <c r="C638" s="34" t="s">
        <v>316</v>
      </c>
      <c r="D638" s="29">
        <v>46098.591539351852</v>
      </c>
      <c r="E638" s="34" t="s">
        <v>287</v>
      </c>
      <c r="F638" t="b">
        <v>1</v>
      </c>
      <c r="G638" s="34" t="s">
        <v>317</v>
      </c>
      <c r="H638" t="b">
        <v>0</v>
      </c>
    </row>
    <row r="639" spans="1:8" x14ac:dyDescent="0.35">
      <c r="A639" s="34" t="s">
        <v>318</v>
      </c>
      <c r="B639" s="34" t="s">
        <v>319</v>
      </c>
      <c r="C639" s="34" t="s">
        <v>320</v>
      </c>
      <c r="D639" s="29">
        <v>46098.578043981484</v>
      </c>
      <c r="E639" s="34" t="s">
        <v>287</v>
      </c>
      <c r="F639" t="b">
        <v>1</v>
      </c>
      <c r="G639" s="34" t="s">
        <v>288</v>
      </c>
      <c r="H639" t="b">
        <v>0</v>
      </c>
    </row>
    <row r="640" spans="1:8" x14ac:dyDescent="0.35">
      <c r="A640" s="34" t="s">
        <v>321</v>
      </c>
      <c r="B640" s="34" t="s">
        <v>322</v>
      </c>
      <c r="C640" s="34" t="s">
        <v>323</v>
      </c>
      <c r="D640" s="29">
        <v>46098.575844907406</v>
      </c>
      <c r="E640" s="34" t="s">
        <v>287</v>
      </c>
      <c r="F640" t="b">
        <v>1</v>
      </c>
      <c r="G640" s="34" t="s">
        <v>288</v>
      </c>
      <c r="H640" t="b">
        <v>0</v>
      </c>
    </row>
    <row r="641" spans="1:8" x14ac:dyDescent="0.35">
      <c r="A641" s="34" t="s">
        <v>314</v>
      </c>
      <c r="B641" s="34" t="s">
        <v>324</v>
      </c>
      <c r="C641" s="34" t="s">
        <v>325</v>
      </c>
      <c r="D641" s="29">
        <v>46098.558171296296</v>
      </c>
      <c r="E641" s="34" t="s">
        <v>287</v>
      </c>
      <c r="F641" t="b">
        <v>1</v>
      </c>
      <c r="G641" s="34" t="s">
        <v>288</v>
      </c>
      <c r="H641" t="b">
        <v>0</v>
      </c>
    </row>
    <row r="642" spans="1:8" x14ac:dyDescent="0.35">
      <c r="A642" s="34" t="s">
        <v>314</v>
      </c>
      <c r="B642" s="34" t="s">
        <v>324</v>
      </c>
      <c r="C642" s="34" t="s">
        <v>325</v>
      </c>
      <c r="D642" s="29">
        <v>46098.551493055558</v>
      </c>
      <c r="E642" s="34" t="s">
        <v>287</v>
      </c>
      <c r="F642" t="b">
        <v>1</v>
      </c>
      <c r="G642" s="34" t="s">
        <v>288</v>
      </c>
      <c r="H642" t="b">
        <v>0</v>
      </c>
    </row>
    <row r="643" spans="1:8" x14ac:dyDescent="0.35">
      <c r="A643" s="34" t="s">
        <v>326</v>
      </c>
      <c r="B643" s="34" t="s">
        <v>285</v>
      </c>
      <c r="C643" s="34" t="s">
        <v>286</v>
      </c>
      <c r="D643" s="29">
        <v>46098.543310185189</v>
      </c>
      <c r="E643" s="34" t="s">
        <v>287</v>
      </c>
      <c r="F643" t="b">
        <v>1</v>
      </c>
      <c r="G643" s="34" t="s">
        <v>288</v>
      </c>
      <c r="H643" t="b">
        <v>0</v>
      </c>
    </row>
    <row r="644" spans="1:8" x14ac:dyDescent="0.35">
      <c r="A644" s="34" t="s">
        <v>321</v>
      </c>
      <c r="B644" s="34" t="s">
        <v>285</v>
      </c>
      <c r="C644" s="34" t="s">
        <v>286</v>
      </c>
      <c r="D644" s="29">
        <v>46098.504016203704</v>
      </c>
      <c r="E644" s="34" t="s">
        <v>287</v>
      </c>
      <c r="F644" t="b">
        <v>1</v>
      </c>
      <c r="G644" s="34" t="s">
        <v>226</v>
      </c>
      <c r="H644" t="b">
        <v>0</v>
      </c>
    </row>
    <row r="645" spans="1:8" x14ac:dyDescent="0.35">
      <c r="A645" s="34" t="s">
        <v>327</v>
      </c>
      <c r="B645" s="34" t="s">
        <v>328</v>
      </c>
      <c r="C645" s="34" t="s">
        <v>329</v>
      </c>
      <c r="D645" s="29">
        <v>46098.487141203703</v>
      </c>
      <c r="E645" s="34" t="s">
        <v>287</v>
      </c>
      <c r="F645" t="b">
        <v>1</v>
      </c>
      <c r="G645" s="34" t="s">
        <v>222</v>
      </c>
      <c r="H645" t="b">
        <v>0</v>
      </c>
    </row>
    <row r="646" spans="1:8" x14ac:dyDescent="0.35">
      <c r="A646" s="34" t="s">
        <v>299</v>
      </c>
      <c r="B646" s="34" t="s">
        <v>300</v>
      </c>
      <c r="C646" s="34" t="s">
        <v>301</v>
      </c>
      <c r="D646" s="29">
        <v>46098.27171296296</v>
      </c>
      <c r="E646" s="34" t="s">
        <v>287</v>
      </c>
      <c r="F646" t="b">
        <v>1</v>
      </c>
      <c r="G646" s="34" t="s">
        <v>302</v>
      </c>
      <c r="H646" t="b">
        <v>0</v>
      </c>
    </row>
    <row r="647" spans="1:8" x14ac:dyDescent="0.35">
      <c r="A647" s="34" t="s">
        <v>330</v>
      </c>
      <c r="B647" s="34" t="s">
        <v>294</v>
      </c>
      <c r="C647" s="34" t="s">
        <v>295</v>
      </c>
      <c r="D647" s="29">
        <v>46097.786666666667</v>
      </c>
      <c r="E647" s="34" t="s">
        <v>287</v>
      </c>
      <c r="F647" t="b">
        <v>1</v>
      </c>
      <c r="G647" s="34" t="s">
        <v>331</v>
      </c>
      <c r="H647" t="b">
        <v>0</v>
      </c>
    </row>
    <row r="648" spans="1:8" x14ac:dyDescent="0.35">
      <c r="A648" s="34" t="s">
        <v>332</v>
      </c>
      <c r="B648" s="34" t="s">
        <v>324</v>
      </c>
      <c r="C648" s="34" t="s">
        <v>325</v>
      </c>
      <c r="D648" s="29">
        <v>46097.627268518518</v>
      </c>
      <c r="E648" s="34" t="s">
        <v>287</v>
      </c>
      <c r="F648" t="b">
        <v>1</v>
      </c>
      <c r="G648" s="34" t="s">
        <v>288</v>
      </c>
      <c r="H648" t="b">
        <v>0</v>
      </c>
    </row>
    <row r="649" spans="1:8" x14ac:dyDescent="0.35">
      <c r="A649" s="34" t="s">
        <v>333</v>
      </c>
      <c r="B649" s="34" t="s">
        <v>324</v>
      </c>
      <c r="C649" s="34" t="s">
        <v>325</v>
      </c>
      <c r="D649" s="29">
        <v>46097.474027777775</v>
      </c>
      <c r="E649" s="34" t="s">
        <v>287</v>
      </c>
      <c r="F649" t="b">
        <v>1</v>
      </c>
      <c r="G649" s="34" t="s">
        <v>288</v>
      </c>
      <c r="H649" t="b">
        <v>0</v>
      </c>
    </row>
    <row r="650" spans="1:8" x14ac:dyDescent="0.35">
      <c r="A650" s="34" t="s">
        <v>334</v>
      </c>
      <c r="B650" s="34" t="s">
        <v>297</v>
      </c>
      <c r="C650" s="34" t="s">
        <v>298</v>
      </c>
      <c r="D650" s="29">
        <v>46097.473854166667</v>
      </c>
      <c r="E650" s="34" t="s">
        <v>287</v>
      </c>
      <c r="F650" t="b">
        <v>1</v>
      </c>
      <c r="G650" s="34" t="s">
        <v>222</v>
      </c>
      <c r="H650" t="b">
        <v>0</v>
      </c>
    </row>
    <row r="651" spans="1:8" x14ac:dyDescent="0.35">
      <c r="A651" s="34" t="s">
        <v>327</v>
      </c>
      <c r="B651" s="34" t="s">
        <v>328</v>
      </c>
      <c r="C651" s="34" t="s">
        <v>329</v>
      </c>
      <c r="D651" s="29">
        <v>46097.452870370369</v>
      </c>
      <c r="E651" s="34" t="s">
        <v>287</v>
      </c>
      <c r="F651" t="b">
        <v>1</v>
      </c>
      <c r="G651" s="34" t="s">
        <v>288</v>
      </c>
      <c r="H651" t="b">
        <v>0</v>
      </c>
    </row>
    <row r="652" spans="1:8" x14ac:dyDescent="0.35">
      <c r="A652" s="34" t="s">
        <v>335</v>
      </c>
      <c r="B652" s="34" t="s">
        <v>336</v>
      </c>
      <c r="C652" s="34" t="s">
        <v>337</v>
      </c>
      <c r="D652" s="29">
        <v>46097.439155092594</v>
      </c>
      <c r="E652" s="34" t="s">
        <v>287</v>
      </c>
      <c r="F652" t="b">
        <v>1</v>
      </c>
      <c r="G652" s="34" t="s">
        <v>222</v>
      </c>
      <c r="H652" t="b">
        <v>0</v>
      </c>
    </row>
    <row r="653" spans="1:8" x14ac:dyDescent="0.35">
      <c r="A653" s="34" t="s">
        <v>299</v>
      </c>
      <c r="B653" s="34" t="s">
        <v>300</v>
      </c>
      <c r="C653" s="34" t="s">
        <v>301</v>
      </c>
      <c r="D653" s="29">
        <v>46097.271238425928</v>
      </c>
      <c r="E653" s="34" t="s">
        <v>287</v>
      </c>
      <c r="F653" t="b">
        <v>1</v>
      </c>
      <c r="G653" s="34" t="s">
        <v>302</v>
      </c>
      <c r="H653" t="b">
        <v>0</v>
      </c>
    </row>
    <row r="654" spans="1:8" x14ac:dyDescent="0.35">
      <c r="A654" s="34" t="s">
        <v>299</v>
      </c>
      <c r="B654" s="34" t="s">
        <v>300</v>
      </c>
      <c r="C654" s="34" t="s">
        <v>301</v>
      </c>
      <c r="D654" s="29">
        <v>46096.271307870367</v>
      </c>
      <c r="E654" s="34" t="s">
        <v>287</v>
      </c>
      <c r="F654" t="b">
        <v>1</v>
      </c>
      <c r="G654" s="34" t="s">
        <v>302</v>
      </c>
      <c r="H654" t="b">
        <v>0</v>
      </c>
    </row>
    <row r="655" spans="1:8" x14ac:dyDescent="0.35">
      <c r="A655" s="34" t="s">
        <v>299</v>
      </c>
      <c r="B655" s="34" t="s">
        <v>300</v>
      </c>
      <c r="C655" s="34" t="s">
        <v>301</v>
      </c>
      <c r="D655" s="29">
        <v>46095.270995370367</v>
      </c>
      <c r="E655" s="34" t="s">
        <v>287</v>
      </c>
      <c r="F655" t="b">
        <v>1</v>
      </c>
      <c r="G655" s="34" t="s">
        <v>302</v>
      </c>
      <c r="H655" t="b">
        <v>0</v>
      </c>
    </row>
    <row r="656" spans="1:8" x14ac:dyDescent="0.35">
      <c r="A656" s="34" t="s">
        <v>303</v>
      </c>
      <c r="B656" s="34" t="s">
        <v>304</v>
      </c>
      <c r="C656" s="34" t="s">
        <v>305</v>
      </c>
      <c r="D656" s="29">
        <v>46094.949918981481</v>
      </c>
      <c r="E656" s="34" t="s">
        <v>287</v>
      </c>
      <c r="F656" t="b">
        <v>1</v>
      </c>
      <c r="G656" s="34" t="s">
        <v>222</v>
      </c>
      <c r="H656" t="b">
        <v>0</v>
      </c>
    </row>
    <row r="657" spans="1:8" x14ac:dyDescent="0.35">
      <c r="A657" s="34" t="s">
        <v>326</v>
      </c>
      <c r="B657" s="34" t="s">
        <v>227</v>
      </c>
      <c r="C657" s="34" t="s">
        <v>291</v>
      </c>
      <c r="D657" s="29">
        <v>46094.792662037034</v>
      </c>
      <c r="E657" s="34" t="s">
        <v>287</v>
      </c>
      <c r="F657" t="b">
        <v>1</v>
      </c>
      <c r="G657" s="34" t="s">
        <v>288</v>
      </c>
      <c r="H657" t="b">
        <v>0</v>
      </c>
    </row>
    <row r="658" spans="1:8" x14ac:dyDescent="0.35">
      <c r="A658" s="34" t="s">
        <v>326</v>
      </c>
      <c r="B658" s="34" t="s">
        <v>86</v>
      </c>
      <c r="C658" s="34" t="s">
        <v>338</v>
      </c>
      <c r="D658" s="29">
        <v>46094.740023148152</v>
      </c>
      <c r="E658" s="34" t="s">
        <v>287</v>
      </c>
      <c r="F658" t="b">
        <v>1</v>
      </c>
      <c r="G658" s="34" t="s">
        <v>288</v>
      </c>
      <c r="H658" t="b">
        <v>0</v>
      </c>
    </row>
    <row r="659" spans="1:8" x14ac:dyDescent="0.35">
      <c r="A659" s="34" t="s">
        <v>326</v>
      </c>
      <c r="B659" s="34" t="s">
        <v>297</v>
      </c>
      <c r="C659" s="34" t="s">
        <v>298</v>
      </c>
      <c r="D659" s="29">
        <v>46094.728842592594</v>
      </c>
      <c r="E659" s="34" t="s">
        <v>287</v>
      </c>
      <c r="F659" t="b">
        <v>1</v>
      </c>
      <c r="G659" s="34" t="s">
        <v>226</v>
      </c>
      <c r="H659" t="b">
        <v>1</v>
      </c>
    </row>
    <row r="660" spans="1:8" x14ac:dyDescent="0.35">
      <c r="A660" s="34" t="s">
        <v>306</v>
      </c>
      <c r="B660" s="34" t="s">
        <v>339</v>
      </c>
      <c r="C660" s="34" t="s">
        <v>340</v>
      </c>
      <c r="D660" s="29">
        <v>46094.609340277777</v>
      </c>
      <c r="E660" s="34" t="s">
        <v>287</v>
      </c>
      <c r="F660" t="b">
        <v>1</v>
      </c>
      <c r="G660" s="34" t="s">
        <v>288</v>
      </c>
      <c r="H660" t="b">
        <v>0</v>
      </c>
    </row>
    <row r="661" spans="1:8" x14ac:dyDescent="0.35">
      <c r="A661" s="34" t="s">
        <v>306</v>
      </c>
      <c r="B661" s="34" t="s">
        <v>307</v>
      </c>
      <c r="C661" s="34" t="s">
        <v>308</v>
      </c>
      <c r="D661" s="29">
        <v>46094.602256944447</v>
      </c>
      <c r="E661" s="34" t="s">
        <v>287</v>
      </c>
      <c r="F661" t="b">
        <v>1</v>
      </c>
      <c r="G661" s="34" t="s">
        <v>288</v>
      </c>
      <c r="H661" t="b">
        <v>0</v>
      </c>
    </row>
    <row r="662" spans="1:8" x14ac:dyDescent="0.35">
      <c r="A662" s="34" t="s">
        <v>341</v>
      </c>
      <c r="B662" s="34" t="s">
        <v>285</v>
      </c>
      <c r="C662" s="34" t="s">
        <v>286</v>
      </c>
      <c r="D662" s="29">
        <v>46094.594212962962</v>
      </c>
      <c r="E662" s="34" t="s">
        <v>287</v>
      </c>
      <c r="F662" t="b">
        <v>1</v>
      </c>
      <c r="G662" s="34" t="s">
        <v>288</v>
      </c>
      <c r="H662" t="b">
        <v>1</v>
      </c>
    </row>
    <row r="663" spans="1:8" x14ac:dyDescent="0.35">
      <c r="A663" s="34" t="s">
        <v>306</v>
      </c>
      <c r="B663" s="34" t="s">
        <v>342</v>
      </c>
      <c r="C663" s="34" t="s">
        <v>343</v>
      </c>
      <c r="D663" s="29">
        <v>46094.519212962965</v>
      </c>
      <c r="E663" s="34" t="s">
        <v>287</v>
      </c>
      <c r="F663" t="b">
        <v>1</v>
      </c>
      <c r="G663" s="34" t="s">
        <v>222</v>
      </c>
      <c r="H663" t="b">
        <v>0</v>
      </c>
    </row>
    <row r="664" spans="1:8" x14ac:dyDescent="0.35">
      <c r="A664" s="34" t="s">
        <v>299</v>
      </c>
      <c r="B664" s="34" t="s">
        <v>300</v>
      </c>
      <c r="C664" s="34" t="s">
        <v>301</v>
      </c>
      <c r="D664" s="29">
        <v>46094.271412037036</v>
      </c>
      <c r="E664" s="34" t="s">
        <v>287</v>
      </c>
      <c r="F664" t="b">
        <v>1</v>
      </c>
      <c r="G664" s="34" t="s">
        <v>302</v>
      </c>
      <c r="H664" t="b">
        <v>0</v>
      </c>
    </row>
    <row r="665" spans="1:8" x14ac:dyDescent="0.35">
      <c r="A665" s="34" t="s">
        <v>303</v>
      </c>
      <c r="B665" s="34" t="s">
        <v>304</v>
      </c>
      <c r="C665" s="34" t="s">
        <v>305</v>
      </c>
      <c r="D665" s="29">
        <v>46093.936203703706</v>
      </c>
      <c r="E665" s="34" t="s">
        <v>287</v>
      </c>
      <c r="F665" t="b">
        <v>1</v>
      </c>
      <c r="G665" s="34" t="s">
        <v>288</v>
      </c>
      <c r="H665" t="b">
        <v>0</v>
      </c>
    </row>
    <row r="666" spans="1:8" x14ac:dyDescent="0.35">
      <c r="A666" s="34" t="s">
        <v>306</v>
      </c>
      <c r="B666" s="34" t="s">
        <v>307</v>
      </c>
      <c r="C666" s="34" t="s">
        <v>308</v>
      </c>
      <c r="D666" s="29">
        <v>46093.934027777781</v>
      </c>
      <c r="E666" s="34" t="s">
        <v>287</v>
      </c>
      <c r="F666" t="b">
        <v>1</v>
      </c>
      <c r="G666" s="34" t="s">
        <v>288</v>
      </c>
      <c r="H666" t="b">
        <v>0</v>
      </c>
    </row>
    <row r="667" spans="1:8" x14ac:dyDescent="0.35">
      <c r="A667" s="34" t="s">
        <v>303</v>
      </c>
      <c r="B667" s="34" t="s">
        <v>285</v>
      </c>
      <c r="C667" s="34" t="s">
        <v>286</v>
      </c>
      <c r="D667" s="29">
        <v>46093.514166666668</v>
      </c>
      <c r="E667" s="34" t="s">
        <v>287</v>
      </c>
      <c r="F667" t="b">
        <v>1</v>
      </c>
      <c r="G667" s="34" t="s">
        <v>222</v>
      </c>
      <c r="H667" t="b">
        <v>0</v>
      </c>
    </row>
    <row r="668" spans="1:8" x14ac:dyDescent="0.35">
      <c r="A668" s="34" t="s">
        <v>327</v>
      </c>
      <c r="B668" s="34" t="s">
        <v>328</v>
      </c>
      <c r="C668" s="34" t="s">
        <v>329</v>
      </c>
      <c r="D668" s="29">
        <v>46093.429988425924</v>
      </c>
      <c r="E668" s="34" t="s">
        <v>287</v>
      </c>
      <c r="F668" t="b">
        <v>1</v>
      </c>
      <c r="G668" s="34" t="s">
        <v>288</v>
      </c>
      <c r="H668" t="b">
        <v>0</v>
      </c>
    </row>
    <row r="669" spans="1:8" x14ac:dyDescent="0.35">
      <c r="A669" s="34" t="s">
        <v>299</v>
      </c>
      <c r="B669" s="34" t="s">
        <v>300</v>
      </c>
      <c r="C669" s="34" t="s">
        <v>301</v>
      </c>
      <c r="D669" s="29">
        <v>46093.271354166667</v>
      </c>
      <c r="E669" s="34" t="s">
        <v>287</v>
      </c>
      <c r="F669" t="b">
        <v>1</v>
      </c>
      <c r="G669" s="34" t="s">
        <v>302</v>
      </c>
      <c r="H669" t="b">
        <v>0</v>
      </c>
    </row>
    <row r="670" spans="1:8" x14ac:dyDescent="0.35">
      <c r="A670" s="34" t="s">
        <v>344</v>
      </c>
      <c r="B670" s="34" t="s">
        <v>345</v>
      </c>
      <c r="C670" s="34" t="s">
        <v>346</v>
      </c>
      <c r="D670" s="29">
        <v>46092.988807870373</v>
      </c>
      <c r="E670" s="34" t="s">
        <v>287</v>
      </c>
      <c r="F670" t="b">
        <v>1</v>
      </c>
      <c r="G670" s="34" t="s">
        <v>288</v>
      </c>
      <c r="H670" t="b">
        <v>0</v>
      </c>
    </row>
    <row r="671" spans="1:8" x14ac:dyDescent="0.35">
      <c r="A671" s="34" t="s">
        <v>313</v>
      </c>
      <c r="B671" s="34" t="s">
        <v>285</v>
      </c>
      <c r="C671" s="34" t="s">
        <v>286</v>
      </c>
      <c r="D671" s="29">
        <v>46092.788391203707</v>
      </c>
      <c r="E671" s="34" t="s">
        <v>287</v>
      </c>
      <c r="F671" t="b">
        <v>1</v>
      </c>
      <c r="G671" s="34" t="s">
        <v>226</v>
      </c>
      <c r="H671" t="b">
        <v>0</v>
      </c>
    </row>
    <row r="672" spans="1:8" x14ac:dyDescent="0.35">
      <c r="A672" s="34" t="s">
        <v>327</v>
      </c>
      <c r="B672" s="34" t="s">
        <v>328</v>
      </c>
      <c r="C672" s="34" t="s">
        <v>329</v>
      </c>
      <c r="D672" s="29">
        <v>46092.767685185187</v>
      </c>
      <c r="E672" s="34" t="s">
        <v>287</v>
      </c>
      <c r="F672" t="b">
        <v>1</v>
      </c>
      <c r="G672" s="34" t="s">
        <v>226</v>
      </c>
      <c r="H672" t="b">
        <v>0</v>
      </c>
    </row>
    <row r="673" spans="1:8" x14ac:dyDescent="0.35">
      <c r="A673" s="34" t="s">
        <v>347</v>
      </c>
      <c r="B673" s="34" t="s">
        <v>285</v>
      </c>
      <c r="C673" s="34" t="s">
        <v>286</v>
      </c>
      <c r="D673" s="29">
        <v>46092.654641203706</v>
      </c>
      <c r="E673" s="34" t="s">
        <v>287</v>
      </c>
      <c r="F673" t="b">
        <v>1</v>
      </c>
      <c r="G673" s="34" t="s">
        <v>290</v>
      </c>
      <c r="H673" t="b">
        <v>0</v>
      </c>
    </row>
    <row r="674" spans="1:8" x14ac:dyDescent="0.35">
      <c r="A674" s="34" t="s">
        <v>348</v>
      </c>
      <c r="B674" s="34" t="s">
        <v>285</v>
      </c>
      <c r="C674" s="34" t="s">
        <v>286</v>
      </c>
      <c r="D674" s="29">
        <v>46092.648587962962</v>
      </c>
      <c r="E674" s="34" t="s">
        <v>287</v>
      </c>
      <c r="F674" t="b">
        <v>1</v>
      </c>
      <c r="G674" s="34" t="s">
        <v>226</v>
      </c>
      <c r="H674" t="b">
        <v>0</v>
      </c>
    </row>
    <row r="675" spans="1:8" x14ac:dyDescent="0.35">
      <c r="A675" s="34" t="s">
        <v>349</v>
      </c>
      <c r="B675" s="34" t="s">
        <v>350</v>
      </c>
      <c r="C675" s="34" t="s">
        <v>351</v>
      </c>
      <c r="D675" s="29">
        <v>46092.502951388888</v>
      </c>
      <c r="E675" s="34" t="s">
        <v>287</v>
      </c>
      <c r="F675" t="b">
        <v>1</v>
      </c>
      <c r="G675" s="34" t="s">
        <v>222</v>
      </c>
      <c r="H675" t="b">
        <v>0</v>
      </c>
    </row>
    <row r="676" spans="1:8" x14ac:dyDescent="0.35">
      <c r="A676" s="34" t="s">
        <v>352</v>
      </c>
      <c r="B676" s="34" t="s">
        <v>225</v>
      </c>
      <c r="C676" s="34" t="s">
        <v>353</v>
      </c>
      <c r="D676" s="29">
        <v>46092.458101851851</v>
      </c>
      <c r="E676" s="34" t="s">
        <v>287</v>
      </c>
      <c r="F676" t="b">
        <v>1</v>
      </c>
      <c r="G676" s="34" t="s">
        <v>222</v>
      </c>
      <c r="H676" t="b">
        <v>0</v>
      </c>
    </row>
    <row r="677" spans="1:8" x14ac:dyDescent="0.35">
      <c r="A677" s="34" t="s">
        <v>299</v>
      </c>
      <c r="B677" s="34" t="s">
        <v>300</v>
      </c>
      <c r="C677" s="34" t="s">
        <v>301</v>
      </c>
      <c r="D677" s="29">
        <v>46092.27107638889</v>
      </c>
      <c r="E677" s="34" t="s">
        <v>287</v>
      </c>
      <c r="F677" t="b">
        <v>1</v>
      </c>
      <c r="G677" s="34" t="s">
        <v>302</v>
      </c>
      <c r="H677" t="b">
        <v>0</v>
      </c>
    </row>
    <row r="678" spans="1:8" x14ac:dyDescent="0.35">
      <c r="A678" s="34" t="s">
        <v>354</v>
      </c>
      <c r="B678" s="34" t="s">
        <v>319</v>
      </c>
      <c r="C678" s="34" t="s">
        <v>320</v>
      </c>
      <c r="D678" s="29">
        <v>46092.041192129633</v>
      </c>
      <c r="E678" s="34" t="s">
        <v>287</v>
      </c>
      <c r="F678" t="b">
        <v>1</v>
      </c>
      <c r="G678" s="34" t="s">
        <v>288</v>
      </c>
      <c r="H678" t="b">
        <v>1</v>
      </c>
    </row>
    <row r="679" spans="1:8" x14ac:dyDescent="0.35">
      <c r="A679" s="34" t="s">
        <v>354</v>
      </c>
      <c r="B679" s="34" t="s">
        <v>319</v>
      </c>
      <c r="C679" s="34" t="s">
        <v>320</v>
      </c>
      <c r="D679" s="29">
        <v>46092.037129629629</v>
      </c>
      <c r="E679" s="34" t="s">
        <v>287</v>
      </c>
      <c r="F679" t="b">
        <v>1</v>
      </c>
      <c r="G679" s="34" t="s">
        <v>288</v>
      </c>
      <c r="H679" t="b">
        <v>0</v>
      </c>
    </row>
    <row r="680" spans="1:8" x14ac:dyDescent="0.35">
      <c r="A680" s="34" t="s">
        <v>355</v>
      </c>
      <c r="B680" s="34" t="s">
        <v>294</v>
      </c>
      <c r="C680" s="34" t="s">
        <v>295</v>
      </c>
      <c r="D680" s="29">
        <v>46091.959490740737</v>
      </c>
      <c r="E680" s="34" t="s">
        <v>287</v>
      </c>
      <c r="F680" t="b">
        <v>1</v>
      </c>
      <c r="G680" s="34" t="s">
        <v>356</v>
      </c>
      <c r="H680" t="b">
        <v>0</v>
      </c>
    </row>
    <row r="681" spans="1:8" x14ac:dyDescent="0.35">
      <c r="A681" s="34" t="s">
        <v>355</v>
      </c>
      <c r="B681" s="34" t="s">
        <v>294</v>
      </c>
      <c r="C681" s="34" t="s">
        <v>295</v>
      </c>
      <c r="D681" s="29">
        <v>46091.887013888889</v>
      </c>
      <c r="E681" s="34" t="s">
        <v>287</v>
      </c>
      <c r="F681" t="b">
        <v>1</v>
      </c>
      <c r="G681" s="34" t="s">
        <v>357</v>
      </c>
      <c r="H681" t="b">
        <v>0</v>
      </c>
    </row>
    <row r="682" spans="1:8" x14ac:dyDescent="0.35">
      <c r="A682" s="34" t="s">
        <v>358</v>
      </c>
      <c r="B682" s="34" t="s">
        <v>294</v>
      </c>
      <c r="C682" s="34" t="s">
        <v>295</v>
      </c>
      <c r="D682" s="29">
        <v>46091.75</v>
      </c>
      <c r="E682" s="34" t="s">
        <v>287</v>
      </c>
      <c r="F682" t="b">
        <v>1</v>
      </c>
      <c r="G682" s="34" t="s">
        <v>359</v>
      </c>
      <c r="H682" t="b">
        <v>0</v>
      </c>
    </row>
    <row r="683" spans="1:8" x14ac:dyDescent="0.35">
      <c r="A683" s="34" t="s">
        <v>360</v>
      </c>
      <c r="B683" s="34" t="s">
        <v>225</v>
      </c>
      <c r="C683" s="34" t="s">
        <v>353</v>
      </c>
      <c r="D683" s="29">
        <v>46091.624513888892</v>
      </c>
      <c r="E683" s="34" t="s">
        <v>287</v>
      </c>
      <c r="F683" t="b">
        <v>1</v>
      </c>
      <c r="G683" s="34" t="s">
        <v>222</v>
      </c>
      <c r="H683" t="b">
        <v>0</v>
      </c>
    </row>
    <row r="684" spans="1:8" x14ac:dyDescent="0.35">
      <c r="A684" s="34" t="s">
        <v>361</v>
      </c>
      <c r="B684" s="34" t="s">
        <v>342</v>
      </c>
      <c r="C684" s="34" t="s">
        <v>343</v>
      </c>
      <c r="D684" s="29">
        <v>46091.420208333337</v>
      </c>
      <c r="E684" s="34" t="s">
        <v>287</v>
      </c>
      <c r="F684" t="b">
        <v>1</v>
      </c>
      <c r="G684" s="34" t="s">
        <v>288</v>
      </c>
      <c r="H684" t="b">
        <v>0</v>
      </c>
    </row>
    <row r="685" spans="1:8" x14ac:dyDescent="0.35">
      <c r="A685" s="34" t="s">
        <v>362</v>
      </c>
      <c r="B685" s="34" t="s">
        <v>294</v>
      </c>
      <c r="C685" s="34" t="s">
        <v>295</v>
      </c>
      <c r="D685" s="29">
        <v>46091.315891203703</v>
      </c>
      <c r="E685" s="34" t="s">
        <v>287</v>
      </c>
      <c r="F685" t="b">
        <v>1</v>
      </c>
      <c r="G685" s="34" t="s">
        <v>363</v>
      </c>
      <c r="H685" t="b">
        <v>0</v>
      </c>
    </row>
    <row r="686" spans="1:8" x14ac:dyDescent="0.35">
      <c r="A686" s="34" t="s">
        <v>299</v>
      </c>
      <c r="B686" s="34" t="s">
        <v>300</v>
      </c>
      <c r="C686" s="34" t="s">
        <v>301</v>
      </c>
      <c r="D686" s="29">
        <v>46091.271296296298</v>
      </c>
      <c r="E686" s="34" t="s">
        <v>287</v>
      </c>
      <c r="F686" t="b">
        <v>1</v>
      </c>
      <c r="G686" s="34" t="s">
        <v>302</v>
      </c>
      <c r="H686" t="b">
        <v>0</v>
      </c>
    </row>
    <row r="687" spans="1:8" x14ac:dyDescent="0.35">
      <c r="A687" s="34" t="s">
        <v>364</v>
      </c>
      <c r="B687" s="34" t="s">
        <v>285</v>
      </c>
      <c r="C687" s="34" t="s">
        <v>286</v>
      </c>
      <c r="D687" s="29">
        <v>46091.097430555557</v>
      </c>
      <c r="E687" s="34" t="s">
        <v>287</v>
      </c>
      <c r="F687" t="b">
        <v>1</v>
      </c>
      <c r="G687" s="34" t="s">
        <v>288</v>
      </c>
      <c r="H687" t="b">
        <v>1</v>
      </c>
    </row>
    <row r="688" spans="1:8" x14ac:dyDescent="0.35">
      <c r="A688" s="34" t="s">
        <v>365</v>
      </c>
      <c r="B688" s="34" t="s">
        <v>294</v>
      </c>
      <c r="C688" s="34" t="s">
        <v>295</v>
      </c>
      <c r="D688" s="29">
        <v>46090.629942129628</v>
      </c>
      <c r="E688" s="34" t="s">
        <v>287</v>
      </c>
      <c r="F688" t="b">
        <v>1</v>
      </c>
      <c r="G688" s="34" t="s">
        <v>331</v>
      </c>
      <c r="H688" t="b">
        <v>0</v>
      </c>
    </row>
    <row r="689" spans="1:8" x14ac:dyDescent="0.35">
      <c r="A689" s="34" t="s">
        <v>366</v>
      </c>
      <c r="B689" s="34" t="s">
        <v>294</v>
      </c>
      <c r="C689" s="34" t="s">
        <v>295</v>
      </c>
      <c r="D689" s="29">
        <v>46090.586550925924</v>
      </c>
      <c r="E689" s="34" t="s">
        <v>287</v>
      </c>
      <c r="F689" t="b">
        <v>1</v>
      </c>
      <c r="G689" s="34" t="s">
        <v>359</v>
      </c>
      <c r="H689" t="b">
        <v>0</v>
      </c>
    </row>
    <row r="690" spans="1:8" x14ac:dyDescent="0.35">
      <c r="A690" s="34" t="s">
        <v>367</v>
      </c>
      <c r="B690" s="34" t="s">
        <v>324</v>
      </c>
      <c r="C690" s="34" t="s">
        <v>325</v>
      </c>
      <c r="D690" s="29">
        <v>46090.568715277775</v>
      </c>
      <c r="E690" s="34" t="s">
        <v>287</v>
      </c>
      <c r="F690" t="b">
        <v>1</v>
      </c>
      <c r="G690" s="34" t="s">
        <v>288</v>
      </c>
      <c r="H690" t="b">
        <v>0</v>
      </c>
    </row>
    <row r="691" spans="1:8" x14ac:dyDescent="0.35">
      <c r="A691" s="34" t="s">
        <v>368</v>
      </c>
      <c r="B691" s="34" t="s">
        <v>336</v>
      </c>
      <c r="C691" s="34" t="s">
        <v>337</v>
      </c>
      <c r="D691" s="29">
        <v>46090.391817129632</v>
      </c>
      <c r="E691" s="34" t="s">
        <v>287</v>
      </c>
      <c r="F691" t="b">
        <v>1</v>
      </c>
      <c r="G691" s="34" t="s">
        <v>222</v>
      </c>
      <c r="H691" t="b">
        <v>0</v>
      </c>
    </row>
    <row r="692" spans="1:8" x14ac:dyDescent="0.35">
      <c r="A692" s="34" t="s">
        <v>369</v>
      </c>
      <c r="B692" s="34" t="s">
        <v>294</v>
      </c>
      <c r="C692" s="34" t="s">
        <v>295</v>
      </c>
      <c r="D692" s="29">
        <v>46090.344444444447</v>
      </c>
      <c r="E692" s="34" t="s">
        <v>287</v>
      </c>
      <c r="F692" t="b">
        <v>1</v>
      </c>
      <c r="G692" s="34" t="s">
        <v>363</v>
      </c>
      <c r="H692" t="b">
        <v>0</v>
      </c>
    </row>
    <row r="693" spans="1:8" x14ac:dyDescent="0.35">
      <c r="A693" s="34" t="s">
        <v>299</v>
      </c>
      <c r="B693" s="34" t="s">
        <v>300</v>
      </c>
      <c r="C693" s="34" t="s">
        <v>301</v>
      </c>
      <c r="D693" s="29">
        <v>46090.271134259259</v>
      </c>
      <c r="E693" s="34" t="s">
        <v>287</v>
      </c>
      <c r="F693" t="b">
        <v>1</v>
      </c>
      <c r="G693" s="34" t="s">
        <v>302</v>
      </c>
      <c r="H693" t="b">
        <v>0</v>
      </c>
    </row>
    <row r="694" spans="1:8" x14ac:dyDescent="0.35">
      <c r="A694" s="34" t="s">
        <v>370</v>
      </c>
      <c r="B694" s="34" t="s">
        <v>294</v>
      </c>
      <c r="C694" s="34" t="s">
        <v>295</v>
      </c>
      <c r="D694" s="29">
        <v>46089.743680555555</v>
      </c>
      <c r="E694" s="34" t="s">
        <v>287</v>
      </c>
      <c r="F694" t="b">
        <v>1</v>
      </c>
      <c r="G694" s="34" t="s">
        <v>371</v>
      </c>
      <c r="H694" t="b">
        <v>0</v>
      </c>
    </row>
    <row r="695" spans="1:8" x14ac:dyDescent="0.35">
      <c r="A695" s="34" t="s">
        <v>299</v>
      </c>
      <c r="B695" s="34" t="s">
        <v>300</v>
      </c>
      <c r="C695" s="34" t="s">
        <v>301</v>
      </c>
      <c r="D695" s="29">
        <v>46089.271064814813</v>
      </c>
      <c r="E695" s="34" t="s">
        <v>287</v>
      </c>
      <c r="F695" t="b">
        <v>1</v>
      </c>
      <c r="G695" s="34" t="s">
        <v>302</v>
      </c>
      <c r="H695" t="b">
        <v>0</v>
      </c>
    </row>
    <row r="696" spans="1:8" x14ac:dyDescent="0.35">
      <c r="A696" s="34" t="s">
        <v>299</v>
      </c>
      <c r="B696" s="34" t="s">
        <v>300</v>
      </c>
      <c r="C696" s="34" t="s">
        <v>301</v>
      </c>
      <c r="D696" s="29">
        <v>46088.271296296298</v>
      </c>
      <c r="E696" s="34" t="s">
        <v>287</v>
      </c>
      <c r="F696" t="b">
        <v>1</v>
      </c>
      <c r="G696" s="34" t="s">
        <v>302</v>
      </c>
      <c r="H696" t="b">
        <v>0</v>
      </c>
    </row>
    <row r="697" spans="1:8" x14ac:dyDescent="0.35">
      <c r="A697" s="34" t="s">
        <v>372</v>
      </c>
      <c r="B697" s="34" t="s">
        <v>294</v>
      </c>
      <c r="C697" s="34" t="s">
        <v>295</v>
      </c>
      <c r="D697" s="29">
        <v>46087.49827546296</v>
      </c>
      <c r="E697" s="34" t="s">
        <v>287</v>
      </c>
      <c r="F697" t="b">
        <v>1</v>
      </c>
      <c r="G697" s="34" t="s">
        <v>363</v>
      </c>
      <c r="H697" t="b">
        <v>0</v>
      </c>
    </row>
    <row r="698" spans="1:8" x14ac:dyDescent="0.35">
      <c r="A698" s="34" t="s">
        <v>373</v>
      </c>
      <c r="B698" s="34" t="s">
        <v>374</v>
      </c>
      <c r="C698" s="34" t="s">
        <v>375</v>
      </c>
      <c r="D698" s="29">
        <v>46087.465104166666</v>
      </c>
      <c r="E698" s="34" t="s">
        <v>287</v>
      </c>
      <c r="F698" t="b">
        <v>1</v>
      </c>
      <c r="G698" s="34" t="s">
        <v>376</v>
      </c>
      <c r="H698" t="b">
        <v>0</v>
      </c>
    </row>
    <row r="699" spans="1:8" x14ac:dyDescent="0.35">
      <c r="A699" s="34" t="s">
        <v>373</v>
      </c>
      <c r="B699" s="34" t="s">
        <v>285</v>
      </c>
      <c r="C699" s="34" t="s">
        <v>286</v>
      </c>
      <c r="D699" s="29">
        <v>46087.452719907407</v>
      </c>
      <c r="E699" s="34" t="s">
        <v>287</v>
      </c>
      <c r="F699" t="b">
        <v>1</v>
      </c>
      <c r="G699" s="34" t="s">
        <v>222</v>
      </c>
      <c r="H699" t="b">
        <v>0</v>
      </c>
    </row>
    <row r="700" spans="1:8" x14ac:dyDescent="0.35">
      <c r="A700" s="34" t="s">
        <v>347</v>
      </c>
      <c r="B700" s="34" t="s">
        <v>285</v>
      </c>
      <c r="C700" s="34" t="s">
        <v>286</v>
      </c>
      <c r="D700" s="29">
        <v>46087.410231481481</v>
      </c>
      <c r="E700" s="34" t="s">
        <v>287</v>
      </c>
      <c r="F700" t="b">
        <v>1</v>
      </c>
      <c r="G700" s="34" t="s">
        <v>288</v>
      </c>
      <c r="H700" t="b">
        <v>0</v>
      </c>
    </row>
    <row r="701" spans="1:8" x14ac:dyDescent="0.35">
      <c r="A701" s="34" t="s">
        <v>299</v>
      </c>
      <c r="B701" s="34" t="s">
        <v>300</v>
      </c>
      <c r="C701" s="34" t="s">
        <v>301</v>
      </c>
      <c r="D701" s="29">
        <v>46087.271215277775</v>
      </c>
      <c r="E701" s="34" t="s">
        <v>287</v>
      </c>
      <c r="F701" t="b">
        <v>1</v>
      </c>
      <c r="G701" s="34" t="s">
        <v>302</v>
      </c>
      <c r="H701" t="b">
        <v>0</v>
      </c>
    </row>
    <row r="702" spans="1:8" x14ac:dyDescent="0.35">
      <c r="A702" s="34" t="s">
        <v>377</v>
      </c>
      <c r="B702" s="34" t="s">
        <v>324</v>
      </c>
      <c r="C702" s="34" t="s">
        <v>325</v>
      </c>
      <c r="D702" s="29">
        <v>46086.801527777781</v>
      </c>
      <c r="E702" s="34" t="s">
        <v>287</v>
      </c>
      <c r="F702" t="b">
        <v>1</v>
      </c>
      <c r="G702" s="34" t="s">
        <v>288</v>
      </c>
      <c r="H702" t="b">
        <v>0</v>
      </c>
    </row>
    <row r="703" spans="1:8" x14ac:dyDescent="0.35">
      <c r="A703" s="34" t="s">
        <v>378</v>
      </c>
      <c r="B703" s="34" t="s">
        <v>324</v>
      </c>
      <c r="C703" s="34" t="s">
        <v>325</v>
      </c>
      <c r="D703" s="29">
        <v>46086.798483796294</v>
      </c>
      <c r="E703" s="34" t="s">
        <v>287</v>
      </c>
      <c r="F703" t="b">
        <v>1</v>
      </c>
      <c r="G703" s="34" t="s">
        <v>288</v>
      </c>
      <c r="H703" t="b">
        <v>0</v>
      </c>
    </row>
    <row r="704" spans="1:8" x14ac:dyDescent="0.35">
      <c r="A704" s="34" t="s">
        <v>379</v>
      </c>
      <c r="B704" s="34" t="s">
        <v>336</v>
      </c>
      <c r="C704" s="34" t="s">
        <v>337</v>
      </c>
      <c r="D704" s="29">
        <v>46086.592604166668</v>
      </c>
      <c r="E704" s="34" t="s">
        <v>287</v>
      </c>
      <c r="F704" t="b">
        <v>1</v>
      </c>
      <c r="G704" s="34" t="s">
        <v>222</v>
      </c>
      <c r="H704" t="b">
        <v>0</v>
      </c>
    </row>
    <row r="705" spans="1:8" x14ac:dyDescent="0.35">
      <c r="A705" s="34" t="s">
        <v>347</v>
      </c>
      <c r="B705" s="34" t="s">
        <v>285</v>
      </c>
      <c r="C705" s="34" t="s">
        <v>286</v>
      </c>
      <c r="D705" s="29">
        <v>46086.575312499997</v>
      </c>
      <c r="E705" s="34" t="s">
        <v>287</v>
      </c>
      <c r="F705" t="b">
        <v>1</v>
      </c>
      <c r="G705" s="34" t="s">
        <v>222</v>
      </c>
      <c r="H705" t="b">
        <v>0</v>
      </c>
    </row>
    <row r="706" spans="1:8" x14ac:dyDescent="0.35">
      <c r="A706" s="34" t="s">
        <v>366</v>
      </c>
      <c r="B706" s="34" t="s">
        <v>294</v>
      </c>
      <c r="C706" s="34" t="s">
        <v>295</v>
      </c>
      <c r="D706" s="29">
        <v>46086.540497685186</v>
      </c>
      <c r="E706" s="34" t="s">
        <v>287</v>
      </c>
      <c r="F706" t="b">
        <v>1</v>
      </c>
      <c r="G706" s="34" t="s">
        <v>380</v>
      </c>
      <c r="H706" t="b">
        <v>0</v>
      </c>
    </row>
    <row r="707" spans="1:8" x14ac:dyDescent="0.35">
      <c r="A707" s="34" t="s">
        <v>313</v>
      </c>
      <c r="B707" s="34" t="s">
        <v>285</v>
      </c>
      <c r="C707" s="34" t="s">
        <v>286</v>
      </c>
      <c r="D707" s="29">
        <v>46086.383946759262</v>
      </c>
      <c r="E707" s="34" t="s">
        <v>287</v>
      </c>
      <c r="F707" t="b">
        <v>1</v>
      </c>
      <c r="G707" s="34" t="s">
        <v>381</v>
      </c>
      <c r="H707" t="b">
        <v>0</v>
      </c>
    </row>
    <row r="708" spans="1:8" x14ac:dyDescent="0.35">
      <c r="A708" s="34" t="s">
        <v>327</v>
      </c>
      <c r="B708" s="34" t="s">
        <v>328</v>
      </c>
      <c r="C708" s="34" t="s">
        <v>329</v>
      </c>
      <c r="D708" s="29">
        <v>46086.382430555554</v>
      </c>
      <c r="E708" s="34" t="s">
        <v>287</v>
      </c>
      <c r="F708" t="b">
        <v>1</v>
      </c>
      <c r="G708" s="34" t="s">
        <v>288</v>
      </c>
      <c r="H708" t="b">
        <v>0</v>
      </c>
    </row>
    <row r="709" spans="1:8" x14ac:dyDescent="0.35">
      <c r="A709" s="34" t="s">
        <v>299</v>
      </c>
      <c r="B709" s="34" t="s">
        <v>300</v>
      </c>
      <c r="C709" s="34" t="s">
        <v>301</v>
      </c>
      <c r="D709" s="29">
        <v>46086.271516203706</v>
      </c>
      <c r="E709" s="34" t="s">
        <v>287</v>
      </c>
      <c r="F709" t="b">
        <v>1</v>
      </c>
      <c r="G709" s="34" t="s">
        <v>302</v>
      </c>
      <c r="H709" t="b">
        <v>0</v>
      </c>
    </row>
    <row r="710" spans="1:8" x14ac:dyDescent="0.35">
      <c r="A710" s="34" t="s">
        <v>352</v>
      </c>
      <c r="B710" s="34" t="s">
        <v>382</v>
      </c>
      <c r="C710" s="34" t="s">
        <v>383</v>
      </c>
      <c r="D710" s="29">
        <v>46085.850057870368</v>
      </c>
      <c r="E710" s="34" t="s">
        <v>287</v>
      </c>
      <c r="F710" t="b">
        <v>1</v>
      </c>
      <c r="G710" s="34" t="s">
        <v>288</v>
      </c>
      <c r="H710" t="b">
        <v>1</v>
      </c>
    </row>
    <row r="711" spans="1:8" x14ac:dyDescent="0.35">
      <c r="A711" s="34" t="s">
        <v>378</v>
      </c>
      <c r="B711" s="34" t="s">
        <v>324</v>
      </c>
      <c r="C711" s="34" t="s">
        <v>325</v>
      </c>
      <c r="D711" s="29">
        <v>46085.665289351855</v>
      </c>
      <c r="E711" s="34" t="s">
        <v>287</v>
      </c>
      <c r="F711" t="b">
        <v>1</v>
      </c>
      <c r="G711" s="34" t="s">
        <v>222</v>
      </c>
      <c r="H711" t="b">
        <v>0</v>
      </c>
    </row>
    <row r="712" spans="1:8" x14ac:dyDescent="0.35">
      <c r="A712" s="34" t="s">
        <v>313</v>
      </c>
      <c r="B712" s="34" t="s">
        <v>285</v>
      </c>
      <c r="C712" s="34" t="s">
        <v>286</v>
      </c>
      <c r="D712" s="29">
        <v>46085.635046296295</v>
      </c>
      <c r="E712" s="34" t="s">
        <v>287</v>
      </c>
      <c r="F712" t="b">
        <v>1</v>
      </c>
      <c r="G712" s="34" t="s">
        <v>222</v>
      </c>
      <c r="H712" t="b">
        <v>0</v>
      </c>
    </row>
    <row r="713" spans="1:8" x14ac:dyDescent="0.35">
      <c r="A713" s="34" t="s">
        <v>313</v>
      </c>
      <c r="B713" s="34" t="s">
        <v>339</v>
      </c>
      <c r="C713" s="34" t="s">
        <v>340</v>
      </c>
      <c r="D713" s="29">
        <v>46085.613877314812</v>
      </c>
      <c r="E713" s="34" t="s">
        <v>287</v>
      </c>
      <c r="F713" t="b">
        <v>1</v>
      </c>
      <c r="G713" s="34" t="s">
        <v>226</v>
      </c>
      <c r="H713" t="b">
        <v>0</v>
      </c>
    </row>
    <row r="714" spans="1:8" x14ac:dyDescent="0.35">
      <c r="A714" s="34" t="s">
        <v>384</v>
      </c>
      <c r="B714" s="34" t="s">
        <v>315</v>
      </c>
      <c r="C714" s="34" t="s">
        <v>316</v>
      </c>
      <c r="D714" s="29">
        <v>46085.527951388889</v>
      </c>
      <c r="E714" s="34" t="s">
        <v>287</v>
      </c>
      <c r="F714" t="b">
        <v>1</v>
      </c>
      <c r="G714" s="34" t="s">
        <v>222</v>
      </c>
      <c r="H714" t="b">
        <v>0</v>
      </c>
    </row>
    <row r="715" spans="1:8" x14ac:dyDescent="0.35">
      <c r="A715" s="34" t="s">
        <v>385</v>
      </c>
      <c r="B715" s="34" t="s">
        <v>225</v>
      </c>
      <c r="C715" s="34" t="s">
        <v>353</v>
      </c>
      <c r="D715" s="29">
        <v>46085.52611111111</v>
      </c>
      <c r="E715" s="34" t="s">
        <v>287</v>
      </c>
      <c r="F715" t="b">
        <v>1</v>
      </c>
      <c r="G715" s="34" t="s">
        <v>288</v>
      </c>
      <c r="H715" t="b">
        <v>0</v>
      </c>
    </row>
    <row r="716" spans="1:8" x14ac:dyDescent="0.35">
      <c r="A716" s="34" t="s">
        <v>347</v>
      </c>
      <c r="B716" s="34" t="s">
        <v>285</v>
      </c>
      <c r="C716" s="34" t="s">
        <v>286</v>
      </c>
      <c r="D716" s="29">
        <v>46085.526099537034</v>
      </c>
      <c r="E716" s="34" t="s">
        <v>287</v>
      </c>
      <c r="F716" t="b">
        <v>1</v>
      </c>
      <c r="G716" s="34" t="s">
        <v>222</v>
      </c>
      <c r="H716" t="b">
        <v>0</v>
      </c>
    </row>
    <row r="717" spans="1:8" x14ac:dyDescent="0.35">
      <c r="A717" s="34" t="s">
        <v>299</v>
      </c>
      <c r="B717" s="34" t="s">
        <v>300</v>
      </c>
      <c r="C717" s="34" t="s">
        <v>301</v>
      </c>
      <c r="D717" s="29">
        <v>46085.271284722221</v>
      </c>
      <c r="E717" s="34" t="s">
        <v>287</v>
      </c>
      <c r="F717" t="b">
        <v>1</v>
      </c>
      <c r="G717" s="34" t="s">
        <v>302</v>
      </c>
      <c r="H717" t="b">
        <v>0</v>
      </c>
    </row>
    <row r="718" spans="1:8" x14ac:dyDescent="0.35">
      <c r="A718" s="34" t="s">
        <v>386</v>
      </c>
      <c r="B718" s="34" t="s">
        <v>294</v>
      </c>
      <c r="C718" s="34" t="s">
        <v>295</v>
      </c>
      <c r="D718" s="29">
        <v>46084.711377314816</v>
      </c>
      <c r="E718" s="34" t="s">
        <v>287</v>
      </c>
      <c r="F718" t="b">
        <v>1</v>
      </c>
      <c r="G718" s="34" t="s">
        <v>331</v>
      </c>
      <c r="H718" t="b">
        <v>0</v>
      </c>
    </row>
    <row r="719" spans="1:8" x14ac:dyDescent="0.35">
      <c r="A719" s="34" t="s">
        <v>387</v>
      </c>
      <c r="B719" s="34" t="s">
        <v>294</v>
      </c>
      <c r="C719" s="34" t="s">
        <v>295</v>
      </c>
      <c r="D719" s="29">
        <v>46084.676736111112</v>
      </c>
      <c r="E719" s="34" t="s">
        <v>287</v>
      </c>
      <c r="F719" t="b">
        <v>1</v>
      </c>
      <c r="G719" s="34" t="s">
        <v>357</v>
      </c>
      <c r="H719" t="b">
        <v>0</v>
      </c>
    </row>
    <row r="720" spans="1:8" x14ac:dyDescent="0.35">
      <c r="A720" s="34" t="s">
        <v>327</v>
      </c>
      <c r="B720" s="34" t="s">
        <v>328</v>
      </c>
      <c r="C720" s="34" t="s">
        <v>329</v>
      </c>
      <c r="D720" s="29">
        <v>46084.66238425926</v>
      </c>
      <c r="E720" s="34" t="s">
        <v>287</v>
      </c>
      <c r="F720" t="b">
        <v>1</v>
      </c>
      <c r="G720" s="34" t="s">
        <v>222</v>
      </c>
      <c r="H720" t="b">
        <v>0</v>
      </c>
    </row>
    <row r="721" spans="1:8" x14ac:dyDescent="0.35">
      <c r="A721" s="34" t="s">
        <v>313</v>
      </c>
      <c r="B721" s="34" t="s">
        <v>285</v>
      </c>
      <c r="C721" s="34" t="s">
        <v>286</v>
      </c>
      <c r="D721" s="29">
        <v>46084.660034722219</v>
      </c>
      <c r="E721" s="34" t="s">
        <v>287</v>
      </c>
      <c r="F721" t="b">
        <v>1</v>
      </c>
      <c r="G721" s="34" t="s">
        <v>288</v>
      </c>
      <c r="H721" t="b">
        <v>0</v>
      </c>
    </row>
    <row r="722" spans="1:8" x14ac:dyDescent="0.35">
      <c r="A722" s="34" t="s">
        <v>373</v>
      </c>
      <c r="B722" s="34" t="s">
        <v>285</v>
      </c>
      <c r="C722" s="34" t="s">
        <v>286</v>
      </c>
      <c r="D722" s="29">
        <v>46084.478333333333</v>
      </c>
      <c r="E722" s="34" t="s">
        <v>287</v>
      </c>
      <c r="F722" t="b">
        <v>1</v>
      </c>
      <c r="G722" s="34" t="s">
        <v>222</v>
      </c>
      <c r="H722" t="b">
        <v>0</v>
      </c>
    </row>
    <row r="723" spans="1:8" x14ac:dyDescent="0.35">
      <c r="A723" s="34" t="s">
        <v>388</v>
      </c>
      <c r="B723" s="34" t="s">
        <v>294</v>
      </c>
      <c r="C723" s="34" t="s">
        <v>295</v>
      </c>
      <c r="D723" s="29">
        <v>46084.452453703707</v>
      </c>
      <c r="E723" s="34" t="s">
        <v>287</v>
      </c>
      <c r="F723" t="b">
        <v>1</v>
      </c>
      <c r="G723" s="34" t="s">
        <v>331</v>
      </c>
      <c r="H723" t="b">
        <v>0</v>
      </c>
    </row>
    <row r="724" spans="1:8" x14ac:dyDescent="0.35">
      <c r="A724" s="34" t="s">
        <v>373</v>
      </c>
      <c r="B724" s="34" t="s">
        <v>374</v>
      </c>
      <c r="C724" s="34" t="s">
        <v>375</v>
      </c>
      <c r="D724" s="29">
        <v>46084.385405092595</v>
      </c>
      <c r="E724" s="34" t="s">
        <v>287</v>
      </c>
      <c r="F724" t="b">
        <v>1</v>
      </c>
      <c r="G724" s="34" t="s">
        <v>222</v>
      </c>
      <c r="H724" t="b">
        <v>0</v>
      </c>
    </row>
    <row r="725" spans="1:8" x14ac:dyDescent="0.35">
      <c r="A725" s="34" t="s">
        <v>389</v>
      </c>
      <c r="B725" s="34" t="s">
        <v>55</v>
      </c>
      <c r="C725" s="34" t="s">
        <v>390</v>
      </c>
      <c r="D725" s="29">
        <v>46084.29078703704</v>
      </c>
      <c r="E725" s="34" t="s">
        <v>287</v>
      </c>
      <c r="F725" t="b">
        <v>1</v>
      </c>
      <c r="G725" s="34" t="s">
        <v>288</v>
      </c>
      <c r="H725" t="b">
        <v>0</v>
      </c>
    </row>
    <row r="726" spans="1:8" x14ac:dyDescent="0.35">
      <c r="A726" s="34" t="s">
        <v>299</v>
      </c>
      <c r="B726" s="34" t="s">
        <v>300</v>
      </c>
      <c r="C726" s="34" t="s">
        <v>301</v>
      </c>
      <c r="D726" s="29">
        <v>46084.271203703705</v>
      </c>
      <c r="E726" s="34" t="s">
        <v>287</v>
      </c>
      <c r="F726" t="b">
        <v>1</v>
      </c>
      <c r="G726" s="34" t="s">
        <v>302</v>
      </c>
      <c r="H726" t="b">
        <v>0</v>
      </c>
    </row>
    <row r="727" spans="1:8" x14ac:dyDescent="0.35">
      <c r="A727" s="34" t="s">
        <v>391</v>
      </c>
      <c r="B727" s="34" t="s">
        <v>294</v>
      </c>
      <c r="C727" s="34" t="s">
        <v>295</v>
      </c>
      <c r="D727" s="29">
        <v>46083.863611111112</v>
      </c>
      <c r="E727" s="34" t="s">
        <v>287</v>
      </c>
      <c r="F727" t="b">
        <v>1</v>
      </c>
      <c r="G727" s="34" t="s">
        <v>392</v>
      </c>
      <c r="H727" t="b">
        <v>0</v>
      </c>
    </row>
    <row r="728" spans="1:8" x14ac:dyDescent="0.35">
      <c r="A728" s="34" t="s">
        <v>393</v>
      </c>
      <c r="B728" s="34" t="s">
        <v>294</v>
      </c>
      <c r="C728" s="34" t="s">
        <v>295</v>
      </c>
      <c r="D728" s="29">
        <v>46083.861944444441</v>
      </c>
      <c r="E728" s="34" t="s">
        <v>287</v>
      </c>
      <c r="F728" t="b">
        <v>1</v>
      </c>
      <c r="G728" s="34" t="s">
        <v>394</v>
      </c>
      <c r="H728" t="b">
        <v>0</v>
      </c>
    </row>
    <row r="729" spans="1:8" x14ac:dyDescent="0.35">
      <c r="A729" s="34" t="s">
        <v>395</v>
      </c>
      <c r="B729" s="34" t="s">
        <v>294</v>
      </c>
      <c r="C729" s="34" t="s">
        <v>295</v>
      </c>
      <c r="D729" s="29">
        <v>46083.852939814817</v>
      </c>
      <c r="E729" s="34" t="s">
        <v>287</v>
      </c>
      <c r="F729" t="b">
        <v>1</v>
      </c>
      <c r="G729" s="34" t="s">
        <v>394</v>
      </c>
      <c r="H729" t="b">
        <v>0</v>
      </c>
    </row>
    <row r="730" spans="1:8" x14ac:dyDescent="0.35">
      <c r="A730" s="34" t="s">
        <v>395</v>
      </c>
      <c r="B730" s="34" t="s">
        <v>294</v>
      </c>
      <c r="C730" s="34" t="s">
        <v>295</v>
      </c>
      <c r="D730" s="29">
        <v>46083.800138888888</v>
      </c>
      <c r="E730" s="34" t="s">
        <v>287</v>
      </c>
      <c r="F730" t="b">
        <v>1</v>
      </c>
      <c r="G730" s="34" t="s">
        <v>396</v>
      </c>
      <c r="H730" t="b">
        <v>0</v>
      </c>
    </row>
    <row r="731" spans="1:8" x14ac:dyDescent="0.35">
      <c r="A731" s="34" t="s">
        <v>347</v>
      </c>
      <c r="B731" s="34" t="s">
        <v>285</v>
      </c>
      <c r="C731" s="34" t="s">
        <v>286</v>
      </c>
      <c r="D731" s="29">
        <v>46083.75677083333</v>
      </c>
      <c r="E731" s="34" t="s">
        <v>287</v>
      </c>
      <c r="F731" t="b">
        <v>1</v>
      </c>
      <c r="G731" s="34" t="s">
        <v>222</v>
      </c>
      <c r="H731" t="b">
        <v>0</v>
      </c>
    </row>
    <row r="732" spans="1:8" x14ac:dyDescent="0.35">
      <c r="A732" s="34" t="s">
        <v>397</v>
      </c>
      <c r="B732" s="34" t="s">
        <v>398</v>
      </c>
      <c r="C732" s="34" t="s">
        <v>399</v>
      </c>
      <c r="D732" s="29">
        <v>46083.737164351849</v>
      </c>
      <c r="E732" s="34" t="s">
        <v>287</v>
      </c>
      <c r="F732" t="b">
        <v>1</v>
      </c>
      <c r="G732" s="34" t="s">
        <v>288</v>
      </c>
      <c r="H732" t="b">
        <v>0</v>
      </c>
    </row>
    <row r="733" spans="1:8" x14ac:dyDescent="0.35">
      <c r="A733" s="34" t="s">
        <v>327</v>
      </c>
      <c r="B733" s="34" t="s">
        <v>328</v>
      </c>
      <c r="C733" s="34" t="s">
        <v>329</v>
      </c>
      <c r="D733" s="29">
        <v>46083.715057870373</v>
      </c>
      <c r="E733" s="34" t="s">
        <v>287</v>
      </c>
      <c r="F733" t="b">
        <v>1</v>
      </c>
      <c r="G733" s="34" t="s">
        <v>288</v>
      </c>
      <c r="H733" t="b">
        <v>0</v>
      </c>
    </row>
    <row r="734" spans="1:8" x14ac:dyDescent="0.35">
      <c r="A734" s="34" t="s">
        <v>400</v>
      </c>
      <c r="B734" s="34" t="s">
        <v>294</v>
      </c>
      <c r="C734" s="34" t="s">
        <v>295</v>
      </c>
      <c r="D734" s="29">
        <v>46083.711921296293</v>
      </c>
      <c r="E734" s="34" t="s">
        <v>287</v>
      </c>
      <c r="F734" t="b">
        <v>1</v>
      </c>
      <c r="G734" s="34" t="s">
        <v>331</v>
      </c>
      <c r="H734" t="b">
        <v>0</v>
      </c>
    </row>
    <row r="735" spans="1:8" x14ac:dyDescent="0.35">
      <c r="A735" s="34" t="s">
        <v>313</v>
      </c>
      <c r="B735" s="34" t="s">
        <v>285</v>
      </c>
      <c r="C735" s="34" t="s">
        <v>286</v>
      </c>
      <c r="D735" s="29">
        <v>46083.696967592594</v>
      </c>
      <c r="E735" s="34" t="s">
        <v>287</v>
      </c>
      <c r="F735" t="b">
        <v>1</v>
      </c>
      <c r="G735" s="34" t="s">
        <v>222</v>
      </c>
      <c r="H735" t="b">
        <v>0</v>
      </c>
    </row>
    <row r="736" spans="1:8" x14ac:dyDescent="0.35">
      <c r="A736" s="34" t="s">
        <v>327</v>
      </c>
      <c r="B736" s="34" t="s">
        <v>328</v>
      </c>
      <c r="C736" s="34" t="s">
        <v>329</v>
      </c>
      <c r="D736" s="29">
        <v>46083.679247685184</v>
      </c>
      <c r="E736" s="34" t="s">
        <v>287</v>
      </c>
      <c r="F736" t="b">
        <v>1</v>
      </c>
      <c r="G736" s="34" t="s">
        <v>222</v>
      </c>
      <c r="H736" t="b">
        <v>0</v>
      </c>
    </row>
    <row r="737" spans="1:8" x14ac:dyDescent="0.35">
      <c r="A737" s="34" t="s">
        <v>401</v>
      </c>
      <c r="B737" s="34" t="s">
        <v>398</v>
      </c>
      <c r="C737" s="34" t="s">
        <v>399</v>
      </c>
      <c r="D737" s="29">
        <v>46083.676412037035</v>
      </c>
      <c r="E737" s="34" t="s">
        <v>287</v>
      </c>
      <c r="F737" t="b">
        <v>1</v>
      </c>
      <c r="G737" s="34" t="s">
        <v>222</v>
      </c>
      <c r="H737" t="b">
        <v>0</v>
      </c>
    </row>
    <row r="738" spans="1:8" x14ac:dyDescent="0.35">
      <c r="A738" s="34" t="s">
        <v>402</v>
      </c>
      <c r="B738" s="34" t="s">
        <v>324</v>
      </c>
      <c r="C738" s="34" t="s">
        <v>325</v>
      </c>
      <c r="D738" s="29">
        <v>46083.653240740743</v>
      </c>
      <c r="E738" s="34" t="s">
        <v>287</v>
      </c>
      <c r="F738" t="b">
        <v>1</v>
      </c>
      <c r="G738" s="34" t="s">
        <v>288</v>
      </c>
      <c r="H738" t="b">
        <v>0</v>
      </c>
    </row>
    <row r="739" spans="1:8" x14ac:dyDescent="0.35">
      <c r="A739" s="34" t="s">
        <v>313</v>
      </c>
      <c r="B739" s="34" t="s">
        <v>339</v>
      </c>
      <c r="C739" s="34" t="s">
        <v>340</v>
      </c>
      <c r="D739" s="29">
        <v>46083.597997685189</v>
      </c>
      <c r="E739" s="34" t="s">
        <v>287</v>
      </c>
      <c r="F739" t="b">
        <v>1</v>
      </c>
      <c r="G739" s="34" t="s">
        <v>288</v>
      </c>
      <c r="H739" t="b">
        <v>0</v>
      </c>
    </row>
    <row r="740" spans="1:8" x14ac:dyDescent="0.35">
      <c r="A740" s="34" t="s">
        <v>403</v>
      </c>
      <c r="B740" s="34" t="s">
        <v>294</v>
      </c>
      <c r="C740" s="34" t="s">
        <v>295</v>
      </c>
      <c r="D740" s="29">
        <v>46083.55431712963</v>
      </c>
      <c r="E740" s="34" t="s">
        <v>287</v>
      </c>
      <c r="F740" t="b">
        <v>1</v>
      </c>
      <c r="G740" s="34" t="s">
        <v>404</v>
      </c>
      <c r="H740" t="b">
        <v>0</v>
      </c>
    </row>
    <row r="741" spans="1:8" x14ac:dyDescent="0.35">
      <c r="A741" s="34" t="s">
        <v>405</v>
      </c>
      <c r="B741" s="34" t="s">
        <v>294</v>
      </c>
      <c r="C741" s="34" t="s">
        <v>295</v>
      </c>
      <c r="D741" s="29">
        <v>46083.554259259261</v>
      </c>
      <c r="E741" s="34" t="s">
        <v>287</v>
      </c>
      <c r="F741" t="b">
        <v>1</v>
      </c>
      <c r="G741" s="34" t="s">
        <v>404</v>
      </c>
      <c r="H741" t="b">
        <v>0</v>
      </c>
    </row>
    <row r="742" spans="1:8" x14ac:dyDescent="0.35">
      <c r="A742" s="34" t="s">
        <v>401</v>
      </c>
      <c r="B742" s="34" t="s">
        <v>285</v>
      </c>
      <c r="C742" s="34" t="s">
        <v>286</v>
      </c>
      <c r="D742" s="29">
        <v>46083.365011574075</v>
      </c>
      <c r="E742" s="34" t="s">
        <v>287</v>
      </c>
      <c r="F742" t="b">
        <v>1</v>
      </c>
      <c r="G742" s="34" t="s">
        <v>222</v>
      </c>
      <c r="H742" t="b">
        <v>1</v>
      </c>
    </row>
    <row r="743" spans="1:8" x14ac:dyDescent="0.35">
      <c r="A743" s="34" t="s">
        <v>299</v>
      </c>
      <c r="B743" s="34" t="s">
        <v>300</v>
      </c>
      <c r="C743" s="34" t="s">
        <v>301</v>
      </c>
      <c r="D743" s="29">
        <v>46083.271307870367</v>
      </c>
      <c r="E743" s="34" t="s">
        <v>287</v>
      </c>
      <c r="F743" t="b">
        <v>1</v>
      </c>
      <c r="G743" s="34" t="s">
        <v>302</v>
      </c>
      <c r="H743" t="b">
        <v>0</v>
      </c>
    </row>
    <row r="744" spans="1:8" x14ac:dyDescent="0.35">
      <c r="A744" s="34" t="s">
        <v>299</v>
      </c>
      <c r="B744" s="34" t="s">
        <v>300</v>
      </c>
      <c r="C744" s="34" t="s">
        <v>301</v>
      </c>
      <c r="D744" s="29">
        <v>46082.271018518521</v>
      </c>
      <c r="E744" s="34" t="s">
        <v>287</v>
      </c>
      <c r="F744" t="b">
        <v>1</v>
      </c>
      <c r="G744" s="34" t="s">
        <v>302</v>
      </c>
      <c r="H744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2096-4A36-468D-BDA2-13B4F89C33F6}">
  <sheetPr codeName="Sheet13"/>
  <dimension ref="A1:E47"/>
  <sheetViews>
    <sheetView zoomScaleNormal="100" workbookViewId="0">
      <selection sqref="A1:E48"/>
    </sheetView>
  </sheetViews>
  <sheetFormatPr defaultRowHeight="14.5" x14ac:dyDescent="0.35"/>
  <cols>
    <col min="1" max="1" width="15.453125" customWidth="1"/>
    <col min="2" max="2" width="15.54296875" style="8" bestFit="1" customWidth="1"/>
    <col min="3" max="3" width="32.08984375" bestFit="1" customWidth="1"/>
    <col min="4" max="4" width="80.7265625" bestFit="1" customWidth="1"/>
    <col min="5" max="5" width="21.453125" bestFit="1" customWidth="1"/>
    <col min="6" max="6" width="18.1796875" bestFit="1" customWidth="1"/>
  </cols>
  <sheetData>
    <row r="1" spans="1:5" x14ac:dyDescent="0.35">
      <c r="A1" t="s">
        <v>15</v>
      </c>
      <c r="B1" s="8" t="s">
        <v>20</v>
      </c>
      <c r="C1" t="s">
        <v>22</v>
      </c>
      <c r="D1" t="s">
        <v>21</v>
      </c>
      <c r="E1" t="s">
        <v>426</v>
      </c>
    </row>
    <row r="2" spans="1:5" x14ac:dyDescent="0.35">
      <c r="A2" s="34" t="s">
        <v>617</v>
      </c>
      <c r="B2" s="8">
        <v>46172.308020833334</v>
      </c>
      <c r="C2" s="34" t="s">
        <v>432</v>
      </c>
      <c r="D2" s="34" t="s">
        <v>433</v>
      </c>
      <c r="E2" s="34" t="s">
        <v>25</v>
      </c>
    </row>
    <row r="3" spans="1:5" x14ac:dyDescent="0.35">
      <c r="A3" s="34" t="s">
        <v>427</v>
      </c>
      <c r="B3" s="8">
        <v>46171.84988425926</v>
      </c>
      <c r="C3" s="34" t="s">
        <v>869</v>
      </c>
      <c r="D3" s="34" t="s">
        <v>428</v>
      </c>
      <c r="E3" s="34" t="s">
        <v>25</v>
      </c>
    </row>
    <row r="4" spans="1:5" x14ac:dyDescent="0.35">
      <c r="A4" s="34" t="s">
        <v>617</v>
      </c>
      <c r="B4" s="8">
        <v>46171.307638888888</v>
      </c>
      <c r="C4" s="34" t="s">
        <v>432</v>
      </c>
      <c r="D4" s="34" t="s">
        <v>433</v>
      </c>
      <c r="E4" s="34" t="s">
        <v>25</v>
      </c>
    </row>
    <row r="5" spans="1:5" x14ac:dyDescent="0.35">
      <c r="A5" s="34" t="s">
        <v>617</v>
      </c>
      <c r="B5" s="8">
        <v>46170.309444444443</v>
      </c>
      <c r="C5" s="34" t="s">
        <v>432</v>
      </c>
      <c r="D5" s="34" t="s">
        <v>433</v>
      </c>
      <c r="E5" s="34" t="s">
        <v>25</v>
      </c>
    </row>
    <row r="6" spans="1:5" x14ac:dyDescent="0.35">
      <c r="A6" s="34" t="s">
        <v>617</v>
      </c>
      <c r="B6" s="8">
        <v>46169.31013888889</v>
      </c>
      <c r="C6" s="34" t="s">
        <v>432</v>
      </c>
      <c r="D6" s="34" t="s">
        <v>433</v>
      </c>
      <c r="E6" s="34" t="s">
        <v>25</v>
      </c>
    </row>
    <row r="7" spans="1:5" x14ac:dyDescent="0.35">
      <c r="A7" s="34" t="s">
        <v>617</v>
      </c>
      <c r="B7" s="8">
        <v>46168.309189814812</v>
      </c>
      <c r="C7" s="34" t="s">
        <v>432</v>
      </c>
      <c r="D7" s="34" t="s">
        <v>433</v>
      </c>
      <c r="E7" s="34" t="s">
        <v>25</v>
      </c>
    </row>
    <row r="8" spans="1:5" x14ac:dyDescent="0.35">
      <c r="A8" s="34" t="s">
        <v>617</v>
      </c>
      <c r="B8" s="8">
        <v>46165.31349537037</v>
      </c>
      <c r="C8" s="34" t="s">
        <v>432</v>
      </c>
      <c r="D8" s="34" t="s">
        <v>433</v>
      </c>
      <c r="E8" s="34" t="s">
        <v>25</v>
      </c>
    </row>
    <row r="9" spans="1:5" x14ac:dyDescent="0.35">
      <c r="A9" s="34" t="s">
        <v>427</v>
      </c>
      <c r="B9" s="8">
        <v>46164.503923611112</v>
      </c>
      <c r="C9" s="34" t="s">
        <v>618</v>
      </c>
      <c r="D9" s="34" t="s">
        <v>428</v>
      </c>
      <c r="E9" s="34" t="s">
        <v>25</v>
      </c>
    </row>
    <row r="10" spans="1:5" x14ac:dyDescent="0.35">
      <c r="A10" s="34" t="s">
        <v>617</v>
      </c>
      <c r="B10" s="8">
        <v>46164.3125</v>
      </c>
      <c r="C10" s="34" t="s">
        <v>432</v>
      </c>
      <c r="D10" s="34" t="s">
        <v>433</v>
      </c>
      <c r="E10" s="34" t="s">
        <v>25</v>
      </c>
    </row>
    <row r="11" spans="1:5" x14ac:dyDescent="0.35">
      <c r="A11" s="34" t="s">
        <v>430</v>
      </c>
      <c r="B11" s="8">
        <v>46163.696168981478</v>
      </c>
      <c r="C11" s="34" t="s">
        <v>431</v>
      </c>
      <c r="D11" s="34" t="s">
        <v>810</v>
      </c>
      <c r="E11" s="34" t="s">
        <v>24</v>
      </c>
    </row>
    <row r="12" spans="1:5" x14ac:dyDescent="0.35">
      <c r="A12" s="34" t="s">
        <v>617</v>
      </c>
      <c r="B12" s="8">
        <v>46163.3128125</v>
      </c>
      <c r="C12" s="34" t="s">
        <v>432</v>
      </c>
      <c r="D12" s="34" t="s">
        <v>433</v>
      </c>
      <c r="E12" s="34" t="s">
        <v>25</v>
      </c>
    </row>
    <row r="13" spans="1:5" x14ac:dyDescent="0.35">
      <c r="A13" s="34" t="s">
        <v>617</v>
      </c>
      <c r="B13" s="8">
        <v>46162.314039351855</v>
      </c>
      <c r="C13" s="34" t="s">
        <v>432</v>
      </c>
      <c r="D13" s="34" t="s">
        <v>433</v>
      </c>
      <c r="E13" s="34" t="s">
        <v>25</v>
      </c>
    </row>
    <row r="14" spans="1:5" x14ac:dyDescent="0.35">
      <c r="A14" s="34" t="s">
        <v>427</v>
      </c>
      <c r="B14" s="8">
        <v>46161.957349537035</v>
      </c>
      <c r="C14" s="34" t="s">
        <v>811</v>
      </c>
      <c r="D14" s="34" t="s">
        <v>812</v>
      </c>
      <c r="E14" s="34" t="s">
        <v>25</v>
      </c>
    </row>
    <row r="15" spans="1:5" x14ac:dyDescent="0.35">
      <c r="A15" s="34" t="s">
        <v>427</v>
      </c>
      <c r="B15" s="8">
        <v>46161.957060185188</v>
      </c>
      <c r="C15" s="34" t="s">
        <v>813</v>
      </c>
      <c r="D15" s="34" t="s">
        <v>814</v>
      </c>
      <c r="E15" s="34" t="s">
        <v>25</v>
      </c>
    </row>
    <row r="16" spans="1:5" x14ac:dyDescent="0.35">
      <c r="A16" s="34" t="s">
        <v>617</v>
      </c>
      <c r="B16" s="8">
        <v>46161.313009259262</v>
      </c>
      <c r="C16" s="34" t="s">
        <v>432</v>
      </c>
      <c r="D16" s="34" t="s">
        <v>433</v>
      </c>
      <c r="E16" s="34" t="s">
        <v>25</v>
      </c>
    </row>
    <row r="17" spans="1:5" x14ac:dyDescent="0.35">
      <c r="A17" s="34" t="s">
        <v>617</v>
      </c>
      <c r="B17" s="8">
        <v>46158.762337962966</v>
      </c>
      <c r="C17" s="34" t="s">
        <v>432</v>
      </c>
      <c r="D17" s="34" t="s">
        <v>433</v>
      </c>
      <c r="E17" s="34" t="s">
        <v>25</v>
      </c>
    </row>
    <row r="18" spans="1:5" x14ac:dyDescent="0.35">
      <c r="A18" s="34" t="s">
        <v>427</v>
      </c>
      <c r="B18" s="8">
        <v>46157.817314814813</v>
      </c>
      <c r="C18" s="34" t="s">
        <v>815</v>
      </c>
      <c r="D18" s="34" t="s">
        <v>428</v>
      </c>
      <c r="E18" s="34" t="s">
        <v>25</v>
      </c>
    </row>
    <row r="19" spans="1:5" x14ac:dyDescent="0.35">
      <c r="A19" s="34" t="s">
        <v>427</v>
      </c>
      <c r="B19" s="8">
        <v>46157.817337962966</v>
      </c>
      <c r="C19" s="34" t="s">
        <v>815</v>
      </c>
      <c r="D19" s="34" t="s">
        <v>428</v>
      </c>
      <c r="E19" s="34" t="s">
        <v>25</v>
      </c>
    </row>
    <row r="20" spans="1:5" x14ac:dyDescent="0.35">
      <c r="A20" s="34" t="s">
        <v>427</v>
      </c>
      <c r="B20" s="8">
        <v>46157.817361111112</v>
      </c>
      <c r="C20" s="34" t="s">
        <v>815</v>
      </c>
      <c r="D20" s="34" t="s">
        <v>428</v>
      </c>
      <c r="E20" s="34" t="s">
        <v>25</v>
      </c>
    </row>
    <row r="21" spans="1:5" x14ac:dyDescent="0.35">
      <c r="A21" s="34" t="s">
        <v>427</v>
      </c>
      <c r="B21" s="8">
        <v>46157.817291666666</v>
      </c>
      <c r="C21" s="34" t="s">
        <v>815</v>
      </c>
      <c r="D21" s="34" t="s">
        <v>428</v>
      </c>
      <c r="E21" s="34" t="s">
        <v>25</v>
      </c>
    </row>
    <row r="22" spans="1:5" x14ac:dyDescent="0.35">
      <c r="A22" s="34" t="s">
        <v>427</v>
      </c>
      <c r="B22" s="8">
        <v>46157.817280092589</v>
      </c>
      <c r="C22" s="34" t="s">
        <v>815</v>
      </c>
      <c r="D22" s="34" t="s">
        <v>428</v>
      </c>
      <c r="E22" s="34" t="s">
        <v>25</v>
      </c>
    </row>
    <row r="23" spans="1:5" x14ac:dyDescent="0.35">
      <c r="A23" s="34" t="s">
        <v>427</v>
      </c>
      <c r="B23" s="8">
        <v>46157.503796296296</v>
      </c>
      <c r="C23" s="34" t="s">
        <v>815</v>
      </c>
      <c r="D23" s="34" t="s">
        <v>428</v>
      </c>
      <c r="E23" s="34" t="s">
        <v>25</v>
      </c>
    </row>
    <row r="24" spans="1:5" x14ac:dyDescent="0.35">
      <c r="A24" s="34" t="s">
        <v>617</v>
      </c>
      <c r="B24" s="8">
        <v>46157.483715277776</v>
      </c>
      <c r="C24" s="34" t="s">
        <v>432</v>
      </c>
      <c r="D24" s="34" t="s">
        <v>433</v>
      </c>
      <c r="E24" s="34" t="s">
        <v>25</v>
      </c>
    </row>
    <row r="25" spans="1:5" x14ac:dyDescent="0.35">
      <c r="A25" s="34" t="s">
        <v>427</v>
      </c>
      <c r="B25" s="8">
        <v>46156.983726851853</v>
      </c>
      <c r="C25" s="34" t="s">
        <v>815</v>
      </c>
      <c r="D25" s="34" t="s">
        <v>428</v>
      </c>
      <c r="E25" s="34" t="s">
        <v>25</v>
      </c>
    </row>
    <row r="26" spans="1:5" x14ac:dyDescent="0.35">
      <c r="A26" s="34" t="s">
        <v>427</v>
      </c>
      <c r="B26" s="8">
        <v>46156.980150462965</v>
      </c>
      <c r="C26" s="34" t="s">
        <v>815</v>
      </c>
      <c r="D26" s="34" t="s">
        <v>428</v>
      </c>
      <c r="E26" s="34" t="s">
        <v>25</v>
      </c>
    </row>
    <row r="27" spans="1:5" x14ac:dyDescent="0.35">
      <c r="A27" s="34" t="s">
        <v>427</v>
      </c>
      <c r="B27" s="8">
        <v>46156.968310185184</v>
      </c>
      <c r="C27" s="34" t="s">
        <v>815</v>
      </c>
      <c r="D27" s="34" t="s">
        <v>428</v>
      </c>
      <c r="E27" s="34" t="s">
        <v>25</v>
      </c>
    </row>
    <row r="28" spans="1:5" x14ac:dyDescent="0.35">
      <c r="A28" s="34" t="s">
        <v>427</v>
      </c>
      <c r="B28" s="8">
        <v>46156.965509259258</v>
      </c>
      <c r="C28" s="34" t="s">
        <v>815</v>
      </c>
      <c r="D28" s="34" t="s">
        <v>428</v>
      </c>
      <c r="E28" s="34" t="s">
        <v>25</v>
      </c>
    </row>
    <row r="29" spans="1:5" x14ac:dyDescent="0.35">
      <c r="A29" s="34" t="s">
        <v>427</v>
      </c>
      <c r="B29" s="8">
        <v>46156.964108796295</v>
      </c>
      <c r="C29" s="34" t="s">
        <v>815</v>
      </c>
      <c r="D29" s="34" t="s">
        <v>428</v>
      </c>
      <c r="E29" s="34" t="s">
        <v>25</v>
      </c>
    </row>
    <row r="30" spans="1:5" x14ac:dyDescent="0.35">
      <c r="A30" s="34" t="s">
        <v>427</v>
      </c>
      <c r="B30" s="8">
        <v>46156.659490740742</v>
      </c>
      <c r="C30" s="34" t="s">
        <v>618</v>
      </c>
      <c r="D30" s="34" t="s">
        <v>428</v>
      </c>
      <c r="E30" s="34" t="s">
        <v>25</v>
      </c>
    </row>
    <row r="31" spans="1:5" x14ac:dyDescent="0.35">
      <c r="A31" s="34" t="s">
        <v>427</v>
      </c>
      <c r="B31" s="8">
        <v>46156.654803240737</v>
      </c>
      <c r="C31" s="34" t="s">
        <v>618</v>
      </c>
      <c r="D31" s="34" t="s">
        <v>428</v>
      </c>
      <c r="E31" s="34" t="s">
        <v>25</v>
      </c>
    </row>
    <row r="32" spans="1:5" x14ac:dyDescent="0.35">
      <c r="A32" s="34" t="s">
        <v>427</v>
      </c>
      <c r="B32" s="8">
        <v>46156.473564814813</v>
      </c>
      <c r="C32" s="34" t="s">
        <v>816</v>
      </c>
      <c r="D32" s="34" t="s">
        <v>428</v>
      </c>
      <c r="E32" s="34" t="s">
        <v>25</v>
      </c>
    </row>
    <row r="33" spans="1:5" x14ac:dyDescent="0.35">
      <c r="A33" s="34" t="s">
        <v>427</v>
      </c>
      <c r="B33" s="8">
        <v>46156.473553240743</v>
      </c>
      <c r="C33" s="34" t="s">
        <v>817</v>
      </c>
      <c r="D33" s="34" t="s">
        <v>428</v>
      </c>
      <c r="E33" s="34" t="s">
        <v>25</v>
      </c>
    </row>
    <row r="34" spans="1:5" x14ac:dyDescent="0.35">
      <c r="A34" s="34" t="s">
        <v>427</v>
      </c>
      <c r="B34" s="8">
        <v>46156.473530092589</v>
      </c>
      <c r="C34" s="34" t="s">
        <v>818</v>
      </c>
      <c r="D34" s="34" t="s">
        <v>428</v>
      </c>
      <c r="E34" s="34" t="s">
        <v>25</v>
      </c>
    </row>
    <row r="35" spans="1:5" x14ac:dyDescent="0.35">
      <c r="A35" s="34" t="s">
        <v>617</v>
      </c>
      <c r="B35" s="8">
        <v>46156.47047453704</v>
      </c>
      <c r="C35" s="34" t="s">
        <v>432</v>
      </c>
      <c r="D35" s="34" t="s">
        <v>433</v>
      </c>
      <c r="E35" s="34" t="s">
        <v>25</v>
      </c>
    </row>
    <row r="36" spans="1:5" x14ac:dyDescent="0.35">
      <c r="A36" s="34" t="s">
        <v>427</v>
      </c>
      <c r="B36" s="8">
        <v>46156.136400462965</v>
      </c>
      <c r="C36" s="34" t="s">
        <v>619</v>
      </c>
      <c r="D36" s="34" t="s">
        <v>428</v>
      </c>
      <c r="E36" s="34" t="s">
        <v>25</v>
      </c>
    </row>
    <row r="37" spans="1:5" x14ac:dyDescent="0.35">
      <c r="A37" s="34" t="s">
        <v>427</v>
      </c>
      <c r="B37" s="8">
        <v>46156.134837962964</v>
      </c>
      <c r="C37" s="34" t="s">
        <v>619</v>
      </c>
      <c r="D37" s="34" t="s">
        <v>428</v>
      </c>
      <c r="E37" s="34" t="s">
        <v>25</v>
      </c>
    </row>
    <row r="38" spans="1:5" x14ac:dyDescent="0.35">
      <c r="A38" s="34" t="s">
        <v>427</v>
      </c>
      <c r="B38" s="8">
        <v>46156.002210648148</v>
      </c>
      <c r="C38" s="34" t="s">
        <v>618</v>
      </c>
      <c r="D38" s="34" t="s">
        <v>428</v>
      </c>
      <c r="E38" s="34" t="s">
        <v>25</v>
      </c>
    </row>
    <row r="39" spans="1:5" x14ac:dyDescent="0.35">
      <c r="A39" s="34" t="s">
        <v>617</v>
      </c>
      <c r="B39" s="8">
        <v>46155.395509259259</v>
      </c>
      <c r="C39" s="34" t="s">
        <v>432</v>
      </c>
      <c r="D39" s="34" t="s">
        <v>433</v>
      </c>
      <c r="E39" s="34" t="s">
        <v>25</v>
      </c>
    </row>
    <row r="40" spans="1:5" x14ac:dyDescent="0.35">
      <c r="A40" s="34" t="s">
        <v>429</v>
      </c>
      <c r="B40" s="8">
        <v>46154.683252314811</v>
      </c>
      <c r="C40" s="34" t="s">
        <v>819</v>
      </c>
      <c r="D40" s="34" t="s">
        <v>434</v>
      </c>
      <c r="E40" s="34" t="s">
        <v>25</v>
      </c>
    </row>
    <row r="41" spans="1:5" x14ac:dyDescent="0.35">
      <c r="A41" s="34" t="s">
        <v>617</v>
      </c>
      <c r="B41" s="8">
        <v>46154.397951388892</v>
      </c>
      <c r="C41" s="34" t="s">
        <v>432</v>
      </c>
      <c r="D41" s="34" t="s">
        <v>433</v>
      </c>
      <c r="E41" s="34" t="s">
        <v>25</v>
      </c>
    </row>
    <row r="42" spans="1:5" x14ac:dyDescent="0.35">
      <c r="A42" s="34" t="s">
        <v>617</v>
      </c>
      <c r="B42" s="8">
        <v>46151.398587962962</v>
      </c>
      <c r="C42" s="34" t="s">
        <v>432</v>
      </c>
      <c r="D42" s="34" t="s">
        <v>433</v>
      </c>
      <c r="E42" s="34" t="s">
        <v>25</v>
      </c>
    </row>
    <row r="43" spans="1:5" x14ac:dyDescent="0.35">
      <c r="A43" s="34" t="s">
        <v>617</v>
      </c>
      <c r="B43" s="8">
        <v>46150.401122685187</v>
      </c>
      <c r="C43" s="34" t="s">
        <v>432</v>
      </c>
      <c r="D43" s="34" t="s">
        <v>433</v>
      </c>
      <c r="E43" s="34" t="s">
        <v>25</v>
      </c>
    </row>
    <row r="44" spans="1:5" x14ac:dyDescent="0.35">
      <c r="A44" s="34" t="s">
        <v>617</v>
      </c>
      <c r="B44" s="8">
        <v>46149.404004629629</v>
      </c>
      <c r="C44" s="34" t="s">
        <v>432</v>
      </c>
      <c r="D44" s="34" t="s">
        <v>433</v>
      </c>
      <c r="E44" s="34" t="s">
        <v>25</v>
      </c>
    </row>
    <row r="45" spans="1:5" x14ac:dyDescent="0.35">
      <c r="A45" s="34" t="s">
        <v>617</v>
      </c>
      <c r="B45" s="8">
        <v>46148.403946759259</v>
      </c>
      <c r="C45" s="34" t="s">
        <v>432</v>
      </c>
      <c r="D45" s="34" t="s">
        <v>433</v>
      </c>
      <c r="E45" s="34" t="s">
        <v>25</v>
      </c>
    </row>
    <row r="46" spans="1:5" x14ac:dyDescent="0.35">
      <c r="A46" s="34" t="s">
        <v>617</v>
      </c>
      <c r="B46" s="8">
        <v>46147.40283564815</v>
      </c>
      <c r="C46" s="34" t="s">
        <v>432</v>
      </c>
      <c r="D46" s="34" t="s">
        <v>433</v>
      </c>
      <c r="E46" s="34" t="s">
        <v>25</v>
      </c>
    </row>
    <row r="47" spans="1:5" x14ac:dyDescent="0.35">
      <c r="A47" s="34" t="s">
        <v>617</v>
      </c>
      <c r="B47" s="8">
        <v>46144.402060185188</v>
      </c>
      <c r="C47" s="34" t="s">
        <v>432</v>
      </c>
      <c r="D47" s="34" t="s">
        <v>433</v>
      </c>
      <c r="E47" s="34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1F585A-0EB5-4B80-AB29-FDF1757D79A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Sync-Up</vt:lpstr>
      <vt:lpstr>Azure Stories</vt:lpstr>
      <vt:lpstr>Server_List</vt:lpstr>
      <vt:lpstr>Support_Mail</vt:lpstr>
      <vt:lpstr>Integration_Failure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Keshavamurthy Hg (Consultant)</dc:creator>
  <cp:keywords/>
  <dc:description/>
  <cp:lastModifiedBy>Keshavamurthy Hg (Consultant)</cp:lastModifiedBy>
  <cp:revision/>
  <dcterms:created xsi:type="dcterms:W3CDTF">2026-01-28T20:29:09Z</dcterms:created>
  <dcterms:modified xsi:type="dcterms:W3CDTF">2026-06-01T12:07:34Z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2026-01-28T21:40:19Z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9f4c4672-ba09-40dc-b267-5f49d1965fa4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